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is" sheetId="1" state="visible" r:id="rId3"/>
    <sheet name="Methodology" sheetId="2" state="visible" r:id="rId4"/>
    <sheet name="Inputs" sheetId="3" state="visible" r:id="rId5"/>
    <sheet name="CriticalVelocity" sheetId="4" state="visible" r:id="rId6"/>
    <sheet name="FanSizing" sheetId="5" state="visible" r:id="rId7"/>
    <sheet name="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<sst xmlns="http://schemas.openxmlformats.org/spreadsheetml/2006/main" count="266" uniqueCount="229">
  <si>
    <t xml:space="preserve">D2 — Critical Velocity &amp; Preliminary Fan Sizing</t>
  </si>
  <si>
    <t xml:space="preserve">Memorial Tunnel TVS  |  Doc. STN-MT-CVC-002 Rev A  |  Synoptic CFD</t>
  </si>
  <si>
    <t xml:space="preserve">Purpose</t>
  </si>
  <si>
    <t xml:space="preserve">Analytical (hand-calc) determination of critical velocity and jet-fan requirement for each design fire, prior to and independent of SES. Establishes the target the SES model must confirm.</t>
  </si>
  <si>
    <t xml:space="preserve">Method — Critical velocity</t>
  </si>
  <si>
    <t xml:space="preserve">Froude-number formulation (NFPA 502 / Kennedy). Vc and fire-site temperature Tf are coupled and solved iteratively.</t>
  </si>
  <si>
    <t xml:space="preserve">Method — Fan sizing</t>
  </si>
  <si>
    <t xml:space="preserve">Momentum/thrust balance: required tunnel pressure rise vs. installed jet-fan thrust; fan count = ceil(required thrust / thrust per fan / installation efficiency).</t>
  </si>
  <si>
    <t xml:space="preserve">Grade correction</t>
  </si>
  <si>
    <t xml:space="preserve">Grade factor Kg applied for the 3.2% uphill gradient (buoyancy assists smoke up-grade, raising Vc).</t>
  </si>
  <si>
    <t xml:space="preserve">Colour convention</t>
  </si>
  <si>
    <t xml:space="preserve">Blue = input you may change.   Black = formula.   Green = cross-sheet link.   Yellow = key assumption.</t>
  </si>
  <si>
    <t xml:space="preserve">Governing value</t>
  </si>
  <si>
    <t xml:space="preserve">Where the analytical Vc and the MTFVTP measured band (~2.5–3.0 m/s) differ, the higher is carried forward as the design target.</t>
  </si>
  <si>
    <t xml:space="preserve">Sheets</t>
  </si>
  <si>
    <t xml:space="preserve">Basis (this) · Inputs · CriticalVelocity · FanSizing · Summary</t>
  </si>
  <si>
    <t xml:space="preserve">Methodology &amp; Worked Calculations</t>
  </si>
  <si>
    <t xml:space="preserve">How every number in this workbook is derived — for client review.  STN-MT-CVC-002 Rev A</t>
  </si>
  <si>
    <t xml:space="preserve">This sheet documents the equations, their sources, and a fully worked example so that the results on the CriticalVelocity, FanSizing and Summary sheets can be reproduced and audited by hand. Every equation below is implemented live in the calculation sheets; the cell formulas reference the Inputs sheet so that changing any input updates all results.</t>
  </si>
  <si>
    <t xml:space="preserve">1.  Critical Velocity — Froude-Number Method (NFPA 502 / Kennedy)</t>
  </si>
  <si>
    <t xml:space="preserve">The critical velocity Vc is the minimum longitudinal air velocity that prevents smoke from travelling upstream (back-layering) against the ventilation flow. It is found from a dimensionless balance between the buoyancy of the hot smoke and the momentum of the ventilation air (a critical Froude number of unity). Because the buoyancy depends on the smoke temperature, and the smoke temperature at the fire site depends in turn on how fast the air is moving, the two equations are coupled and solved iteratively.</t>
  </si>
  <si>
    <t xml:space="preserve">Governing equations:</t>
  </si>
  <si>
    <t xml:space="preserve">Vc = Kg · Kf · [ g · H · Qc / (ρ₀ · cp · A · Tf) ] ^ (1/3)</t>
  </si>
  <si>
    <t xml:space="preserve">Tf = Qc / (ρ₀ · cp · A · Vc) + T₀</t>
  </si>
  <si>
    <t xml:space="preserve">Kg = 1 + 0.0374 · |grade%| ^ 0.8        (grade correction factor)</t>
  </si>
  <si>
    <t xml:space="preserve">Symbols:</t>
  </si>
  <si>
    <t xml:space="preserve">Vc</t>
  </si>
  <si>
    <t xml:space="preserve">Critical velocity [m/s] — the result we solve for</t>
  </si>
  <si>
    <t xml:space="preserve">Qc</t>
  </si>
  <si>
    <t xml:space="preserve">Convective heat release rate [W] = (convective fraction) × total HRR. Only the convective part heats the moving air and drives buoyancy.</t>
  </si>
  <si>
    <t xml:space="preserve">Tf</t>
  </si>
  <si>
    <t xml:space="preserve">Absolute gas temperature at the fire site [K]</t>
  </si>
  <si>
    <t xml:space="preserve">Kf</t>
  </si>
  <si>
    <t xml:space="preserve">Froude constant = 0.606 (Kennedy calibration of the critical-Froude criterion)</t>
  </si>
  <si>
    <t xml:space="preserve">Kg</t>
  </si>
  <si>
    <t xml:space="preserve">Grade factor — uphill grade lets hot smoke rise more easily, so Vc must increase</t>
  </si>
  <si>
    <t xml:space="preserve">g</t>
  </si>
  <si>
    <t xml:space="preserve">9.81 m/s²   ·   H = hydraulic height (area ÷ width) [m]   ·   A = tunnel area [m²]</t>
  </si>
  <si>
    <t xml:space="preserve">ρ₀</t>
  </si>
  <si>
    <t xml:space="preserve">Ambient air density [kg/m³]   ·   cp = specific heat of air [J/kg·K]   ·   T₀ = ambient temp [K]</t>
  </si>
  <si>
    <t xml:space="preserve">Solution procedure (successive substitution):</t>
  </si>
  <si>
    <t xml:space="preserve">1.  Seed the velocity:  Vc₀ = 2.5 m/s.</t>
  </si>
  <si>
    <t xml:space="preserve">2.  Compute the fire-site temperature Tf from the current Vc  (equation 2).</t>
  </si>
  <si>
    <t xml:space="preserve">3.  Recompute Vc from that Tf  (equation 1).</t>
  </si>
  <si>
    <t xml:space="preserve">4.  Repeat. The value converges within ~4 iterations; the workbook runs 5 for margin.</t>
  </si>
  <si>
    <t xml:space="preserve">5.  The design critical velocity is the greater of the analytical Vc and the 3.0 m/s conservative guard from the MTFVTP measured band (~2.5–3.0 m/s).</t>
  </si>
  <si>
    <t xml:space="preserve">2.  Worked Example — 100 MW Design Fire (Test 615B)</t>
  </si>
  <si>
    <t xml:space="preserve">Using the Inputs values: g = 9.81, H = 6.86 m, A = 60.4 m², ρ₀ = 1.20 kg/m³, cp = 1005 J/kg·K, T₀ = 288.15 K, Kf = 0.606, grade = 3.2%, convective fraction = 0.70, and total HRR = 102,659 kW.</t>
  </si>
  <si>
    <t xml:space="preserve">Convective HRR</t>
  </si>
  <si>
    <t xml:space="preserve">Qc = 0.70 × 102,659 kW = 71,861 kW = 71.86 × 10⁶ W</t>
  </si>
  <si>
    <t xml:space="preserve">Grade factor</t>
  </si>
  <si>
    <t xml:space="preserve">Kg = 1 + 0.0374 × 3.2^0.8 = 1 + 0.0374 × 2.52 = 1.094</t>
  </si>
  <si>
    <t xml:space="preserve">Iteration 1 — Tf</t>
  </si>
  <si>
    <t xml:space="preserve">Tf = 71.86e6 / (1.20 × 1005 × 60.4 × 2.5) + 288.15 = 394.7 + 288.15 = 682.9 K</t>
  </si>
  <si>
    <t xml:space="preserve">Iteration 1 — Vc</t>
  </si>
  <si>
    <t xml:space="preserve">Vc = 1.094 × 0.606 × [9.81 × 6.86 × 71.86e6 / (1.20 × 1005 × 60.4 × 682.9)]^(1/3) = 3.28 m/s</t>
  </si>
  <si>
    <t xml:space="preserve">Iteration 2 — Tf</t>
  </si>
  <si>
    <t xml:space="preserve">Tf = 71.86e6 / (1.20 × 1005 × 60.4 × 3.28) + 288.15 = 300.8 + 288.15 = 589.0 K</t>
  </si>
  <si>
    <t xml:space="preserve">Iteration 2 — Vc</t>
  </si>
  <si>
    <t xml:space="preserve">Vc = 1.094 × 0.606 × [ … / (… × 589.0)]^(1/3) = 3.17 m/s</t>
  </si>
  <si>
    <t xml:space="preserve">Converged</t>
  </si>
  <si>
    <t xml:space="preserve">After 5 iterations Vc → 3.19 m/s ;  Tf → 597.5 K = 324 °C</t>
  </si>
  <si>
    <t xml:space="preserve">Design Vc</t>
  </si>
  <si>
    <t xml:space="preserve">max(3.19, 3.0) = 3.19 m/s  ← governing critical velocity for the 100 MW fire</t>
  </si>
  <si>
    <t xml:space="preserve">3.  Preliminary Fan Sizing — Momentum / Thrust Balance</t>
  </si>
  <si>
    <t xml:space="preserve">To establish the design critical velocity Vc along the tunnel, the jet fans must supply enough thrust to overcome the tunnel's aerodynamic resistance at that velocity. The resistance has two parts: wall friction along the length, and the sum of minor (entry, exit, obstruction) losses.</t>
  </si>
  <si>
    <t xml:space="preserve">ΔP = ( f · L / Dh  +  ΣK ) · ½ · ρ₀ · Vc²        (pressure rise needed) [Pa]</t>
  </si>
  <si>
    <t xml:space="preserve">Dh = 4 · A / P                                   (hydraulic diameter) [m]</t>
  </si>
  <si>
    <t xml:space="preserve">F_required = ΔP · A                              (total thrust) [N]</t>
  </si>
  <si>
    <t xml:space="preserve">F_fan = ρ₀ · Qfan · (Vjet − Vc) · k_inst · η      (thrust per jet fan) [N]</t>
  </si>
  <si>
    <t xml:space="preserve">N = ROUNDUP( F_required / F_fan )                (number of fans)</t>
  </si>
  <si>
    <t xml:space="preserve">f</t>
  </si>
  <si>
    <t xml:space="preserve">Darcy friction factor = 4 × Fanning (0.0055) = 0.022   ·   L = tunnel length [m]</t>
  </si>
  <si>
    <t xml:space="preserve">ΣK</t>
  </si>
  <si>
    <t xml:space="preserve">Total minor loss coefficient = 13.1 (from DBR)   ·   Dh = hydraulic diameter [m]   ·   P = wetted perimeter [m]</t>
  </si>
  <si>
    <t xml:space="preserve">Qfan</t>
  </si>
  <si>
    <t xml:space="preserve">Volume flow per fan = 42.95 m³/s   ·   Vjet = jet discharge velocity = 34.2 m/s</t>
  </si>
  <si>
    <t xml:space="preserve">k_inst</t>
  </si>
  <si>
    <t xml:space="preserve">Installation factor = 0.90 (thrust derate for wall proximity)   ·   η = pressure efficiency = 0.80</t>
  </si>
  <si>
    <t xml:space="preserve">Worked example (100 MW, Vc = 3.19 m/s):</t>
  </si>
  <si>
    <t xml:space="preserve">Hydraulic diameter</t>
  </si>
  <si>
    <t xml:space="preserve">Dh = 4 × 60.4 / 27.5 = 8.79 m</t>
  </si>
  <si>
    <t xml:space="preserve">Pressure rise</t>
  </si>
  <si>
    <t xml:space="preserve">ΔP = (0.022 × 853.75 / 8.79 + 13.1) × 0.5 × 1.20 × 3.19² = (2.14 + 13.1) × 6.10 = 93.0 Pa</t>
  </si>
  <si>
    <t xml:space="preserve">Thrust required</t>
  </si>
  <si>
    <t xml:space="preserve">F_required = 93.0 × 60.4 = 5,618 N</t>
  </si>
  <si>
    <t xml:space="preserve">Thrust per fan</t>
  </si>
  <si>
    <t xml:space="preserve">F_fan = 1.20 × 42.95 × (34.2 − 3.19) × 0.90 × 0.80 = 1,151 N</t>
  </si>
  <si>
    <t xml:space="preserve">Fans required</t>
  </si>
  <si>
    <t xml:space="preserve">N = ROUNDUP(5,618 / 1,151) = ROUNDUP(4.88) = 5 fans</t>
  </si>
  <si>
    <t xml:space="preserve">4.  Notes, Assumptions &amp; Limitations</t>
  </si>
  <si>
    <t xml:space="preserve">• The convective fraction (0.70) is the portion of total HRR that heats the moving air; the balance is radiated to the walls. Values of 0.6–0.75 are typical for tunnel pool fires.</t>
  </si>
  <si>
    <t xml:space="preserve">• The 3.0 m/s conservative floor is applied because the MTFVTP measured that ~2.5–3.0 m/s arrested back-layering across 10–100 MW fires. Smaller fires are therefore driven to this floor rather than to their lower analytical Vc.</t>
  </si>
  <si>
    <t xml:space="preserve">• This momentum balance is steady-state and does NOT credit portal-wind assistance or the throttling effect of the fire's own thermal resistance. It is intentionally conservative and is confirmed/refined by the transient SES analysis (Deliverables D3–D6).</t>
  </si>
  <si>
    <t xml:space="preserve">• Air density is taken at ambient for the resistance calc (conservative — hot air is less dense and easier to move); the temperature-dependent density is reported separately on the FanSizing sheet for reference.</t>
  </si>
  <si>
    <t xml:space="preserve">• All equations are implemented as live formulas referencing the Inputs sheet. Change an input and every result, including this worked example's target values, updates on recalculation.</t>
  </si>
  <si>
    <t xml:space="preserve">Inputs &amp; Constants</t>
  </si>
  <si>
    <t xml:space="preserve">Blue cells are editable. Yellow = key assumption.</t>
  </si>
  <si>
    <t xml:space="preserve">Physical constants</t>
  </si>
  <si>
    <t xml:space="preserve">Symbol</t>
  </si>
  <si>
    <t xml:space="preserve">Description</t>
  </si>
  <si>
    <t xml:space="preserve">Value</t>
  </si>
  <si>
    <t xml:space="preserve">Unit</t>
  </si>
  <si>
    <t xml:space="preserve">Type</t>
  </si>
  <si>
    <t xml:space="preserve">Gravitational acceleration</t>
  </si>
  <si>
    <t xml:space="preserve">m/s²</t>
  </si>
  <si>
    <t xml:space="preserve">input</t>
  </si>
  <si>
    <t xml:space="preserve">rho0</t>
  </si>
  <si>
    <t xml:space="preserve">Ambient air density</t>
  </si>
  <si>
    <t xml:space="preserve">kg/m³</t>
  </si>
  <si>
    <t xml:space="preserve">cp</t>
  </si>
  <si>
    <t xml:space="preserve">Specific heat of air</t>
  </si>
  <si>
    <t xml:space="preserve">J/kg·K</t>
  </si>
  <si>
    <t xml:space="preserve">T0</t>
  </si>
  <si>
    <t xml:space="preserve">Ambient air temperature (design)</t>
  </si>
  <si>
    <t xml:space="preserve">K</t>
  </si>
  <si>
    <t xml:space="preserve">K_fr</t>
  </si>
  <si>
    <t xml:space="preserve">Froude constant (Kennedy)</t>
  </si>
  <si>
    <t xml:space="preserve">-</t>
  </si>
  <si>
    <t xml:space="preserve">Tunnel geometry</t>
  </si>
  <si>
    <t xml:space="preserve">Source</t>
  </si>
  <si>
    <t xml:space="preserve">A</t>
  </si>
  <si>
    <t xml:space="preserve">Cross-sectional area</t>
  </si>
  <si>
    <t xml:space="preserve">m²</t>
  </si>
  <si>
    <t xml:space="preserve">MTFVTP reports</t>
  </si>
  <si>
    <t xml:space="preserve">H</t>
  </si>
  <si>
    <t xml:space="preserve">Hydraulic height (A/W)</t>
  </si>
  <si>
    <t xml:space="preserve">m</t>
  </si>
  <si>
    <t xml:space="preserve">A / roadway width 8.8 m</t>
  </si>
  <si>
    <t xml:space="preserve">Per</t>
  </si>
  <si>
    <t xml:space="preserve">Wetted perimeter</t>
  </si>
  <si>
    <t xml:space="preserve">Arched section, MTFVTP</t>
  </si>
  <si>
    <t xml:space="preserve">L</t>
  </si>
  <si>
    <t xml:space="preserve">Tunnel length</t>
  </si>
  <si>
    <t xml:space="preserve">Sum of 45 SES segments</t>
  </si>
  <si>
    <t xml:space="preserve">grade</t>
  </si>
  <si>
    <t xml:space="preserve">Gradient (uphill S→N)</t>
  </si>
  <si>
    <t xml:space="preserve">%</t>
  </si>
  <si>
    <t xml:space="preserve">Darcy friction factor</t>
  </si>
  <si>
    <t xml:space="preserve">4 × Fanning 0.0055 (DBR)</t>
  </si>
  <si>
    <t xml:space="preserve">Kmin</t>
  </si>
  <si>
    <t xml:space="preserve">Total minor K-loss</t>
  </si>
  <si>
    <t xml:space="preserve">DBR §4.2</t>
  </si>
  <si>
    <t xml:space="preserve">Jet fan data</t>
  </si>
  <si>
    <t xml:space="preserve">Volume flow per jet fan</t>
  </si>
  <si>
    <t xml:space="preserve">m³/s</t>
  </si>
  <si>
    <t xml:space="preserve">DBR §4.1</t>
  </si>
  <si>
    <t xml:space="preserve">Vjet</t>
  </si>
  <si>
    <t xml:space="preserve">Jet discharge velocity</t>
  </si>
  <si>
    <t xml:space="preserve">m/s</t>
  </si>
  <si>
    <t xml:space="preserve">eta</t>
  </si>
  <si>
    <t xml:space="preserve">Pressure/installation efficiency</t>
  </si>
  <si>
    <t xml:space="preserve">Mid of 75–83% band</t>
  </si>
  <si>
    <t xml:space="preserve">Jet-fan installation factor</t>
  </si>
  <si>
    <t xml:space="preserve">Wall-proximity thrust derate</t>
  </si>
  <si>
    <t xml:space="preserve">Critical Velocity — Froude Method (iterative)</t>
  </si>
  <si>
    <t xml:space="preserve">Vc and Tf solved by successive substitution (5 iterations). Grade-corrected.</t>
  </si>
  <si>
    <t xml:space="preserve">Convective heat fraction of HRR</t>
  </si>
  <si>
    <t xml:space="preserve">portion of fire power heating the moving air (0.6–0.75 typical)</t>
  </si>
  <si>
    <t xml:space="preserve">Equations (see Methodology sheet for full derivation &amp; worked example):</t>
  </si>
  <si>
    <t xml:space="preserve">Parameter / Fire</t>
  </si>
  <si>
    <t xml:space="preserve">10 MW
(Test 606A)</t>
  </si>
  <si>
    <t xml:space="preserve">20 MW
(Test 607)</t>
  </si>
  <si>
    <t xml:space="preserve">50 MW
(Test 611)</t>
  </si>
  <si>
    <t xml:space="preserve">100 MW
(Test 615B)</t>
  </si>
  <si>
    <t xml:space="preserve">Total HRR Q  [kW]</t>
  </si>
  <si>
    <t xml:space="preserve">Q  = measured quasi-steady HRR per design fire</t>
  </si>
  <si>
    <t xml:space="preserve">Convective HRR Qc  [kW]</t>
  </si>
  <si>
    <t xml:space="preserve">Qc = Q × convective fraction</t>
  </si>
  <si>
    <t xml:space="preserve">Grade factor Kg  [-]</t>
  </si>
  <si>
    <t xml:space="preserve">Kg = 1 + 0.0374·|grade%|^0.8</t>
  </si>
  <si>
    <t xml:space="preserve">Iterative solution  (Vc₀ seed = 2.5 m/s)</t>
  </si>
  <si>
    <t xml:space="preserve">Iteration</t>
  </si>
  <si>
    <t xml:space="preserve">10 MW</t>
  </si>
  <si>
    <t xml:space="preserve">20 MW</t>
  </si>
  <si>
    <t xml:space="preserve">50 MW</t>
  </si>
  <si>
    <t xml:space="preserve">100 MW</t>
  </si>
  <si>
    <t xml:space="preserve">Vc seed (m/s)</t>
  </si>
  <si>
    <t xml:space="preserve">  Tf1 (K)</t>
  </si>
  <si>
    <t xml:space="preserve">Tf = Qc·1000/(ρ₀·cp·A·Vc) + T₀        [K]</t>
  </si>
  <si>
    <t xml:space="preserve">  Vc1 (m/s)</t>
  </si>
  <si>
    <t xml:space="preserve">Vc = Kg·Kf·[g·H·Qc·1000/(ρ₀·cp·A·Tf)]^(1/3)</t>
  </si>
  <si>
    <t xml:space="preserve">  Tf2 (K)</t>
  </si>
  <si>
    <t xml:space="preserve">  Vc2 (m/s)</t>
  </si>
  <si>
    <t xml:space="preserve">  Tf3 (K)</t>
  </si>
  <si>
    <t xml:space="preserve">  Vc3 (m/s)</t>
  </si>
  <si>
    <t xml:space="preserve">  Tf4 (K)</t>
  </si>
  <si>
    <t xml:space="preserve">  Vc4 (m/s)</t>
  </si>
  <si>
    <t xml:space="preserve">  Tf5 (K)</t>
  </si>
  <si>
    <t xml:space="preserve">  Vc5 (m/s)</t>
  </si>
  <si>
    <t xml:space="preserve">Vc (converged) [m/s]</t>
  </si>
  <si>
    <t xml:space="preserve">→ converged after 5 successive-substitution passes</t>
  </si>
  <si>
    <t xml:space="preserve">Tf at fire site [°C]</t>
  </si>
  <si>
    <t xml:space="preserve">MTFVTP measured band [m/s]</t>
  </si>
  <si>
    <t xml:space="preserve">2.5 – 3.0</t>
  </si>
  <si>
    <t xml:space="preserve">Design Vc (governing) [m/s]</t>
  </si>
  <si>
    <t xml:space="preserve">Design Vc = max(analytical Vc, 3.0 m/s floor)</t>
  </si>
  <si>
    <t xml:space="preserve">Preliminary Jet-Fan Sizing (momentum / thrust balance)</t>
  </si>
  <si>
    <t xml:space="preserve">Fans required to establish design Vc against tunnel resistance at the fire.</t>
  </si>
  <si>
    <t xml:space="preserve">Equations (full derivation on Methodology sheet):</t>
  </si>
  <si>
    <t xml:space="preserve">Design Vc [m/s]</t>
  </si>
  <si>
    <t xml:space="preserve">from CriticalVelocity sheet</t>
  </si>
  <si>
    <t xml:space="preserve">Air density at fire ρ_hot [kg/m³]</t>
  </si>
  <si>
    <t xml:space="preserve">ρ_hot = ρ₀·T₀/Tf</t>
  </si>
  <si>
    <t xml:space="preserve">Hydraulic diameter Dh [m]</t>
  </si>
  <si>
    <t xml:space="preserve">Dh = 4A/P</t>
  </si>
  <si>
    <t xml:space="preserve">Tunnel pressure rise required ΔP [Pa]</t>
  </si>
  <si>
    <t xml:space="preserve">ΔP = (f·L/Dh + ΣK)·½·ρ₀·Vc²</t>
  </si>
  <si>
    <t xml:space="preserve">Total thrust required [N]</t>
  </si>
  <si>
    <t xml:space="preserve">F_req = ΔP·A</t>
  </si>
  <si>
    <t xml:space="preserve">Thrust per jet fan [N]</t>
  </si>
  <si>
    <t xml:space="preserve">F_fan = ρ₀·Qfan·(Vjet−Vc)·k_inst·η</t>
  </si>
  <si>
    <t xml:space="preserve">Fans required (calc)</t>
  </si>
  <si>
    <t xml:space="preserve">Fans required (rounded up)</t>
  </si>
  <si>
    <t xml:space="preserve">N = ROUNDUP(F_req / F_fan)</t>
  </si>
  <si>
    <t xml:space="preserve">Note: preliminary momentum balance for the establishment of critical velocity against steady tunnel resistance. Does not credit portal wind assistance or fire-throttling; SES (D3–D6) resolves the transient and confirms the operable fan count under N-1/N-2 contingencies.</t>
  </si>
  <si>
    <t xml:space="preserve">Summary — Preliminary Sizing Results</t>
  </si>
  <si>
    <t xml:space="preserve">Carried into D3 (SES build) and D8 (fan operating matrix).</t>
  </si>
  <si>
    <t xml:space="preserve">Design fire</t>
  </si>
  <si>
    <t xml:space="preserve">10 MW  (606A)</t>
  </si>
  <si>
    <t xml:space="preserve">20 MW  (607)</t>
  </si>
  <si>
    <t xml:space="preserve">50 MW  (611)</t>
  </si>
  <si>
    <t xml:space="preserve">100 MW  (615B)</t>
  </si>
  <si>
    <t xml:space="preserve">Total HRR [kW]</t>
  </si>
  <si>
    <t xml:space="preserve">Analytical Vc [m/s]</t>
  </si>
  <si>
    <t xml:space="preserve">Fire-site temp Tf [°C]</t>
  </si>
  <si>
    <t xml:space="preserve">ΔP required [Pa]</t>
  </si>
  <si>
    <t xml:space="preserve">Jet fans required</t>
  </si>
  <si>
    <t xml:space="preserve">Prepared by Synoptic CFD  |  STN-MT-CVC-002 Rev A  |  Basis: DBR STN-MT-DBR-001.  All values recalculate from the Inputs sheet.</t>
  </si>
</sst>
</file>

<file path=xl/styles.xml><?xml version="1.0" encoding="utf-8"?>
<styleSheet xmlns="http://schemas.openxmlformats.org/spreadsheetml/2006/main">
  <numFmts count="6">
    <numFmt numFmtId="164" formatCode="General"/>
    <numFmt numFmtId="165" formatCode="0.00"/>
    <numFmt numFmtId="166" formatCode="#,##0"/>
    <numFmt numFmtId="167" formatCode="0.000"/>
    <numFmt numFmtId="168" formatCode="0.0"/>
    <numFmt numFmtId="169" formatCode="0"/>
  </numFmts>
  <fonts count="29">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55555"/>
      <name val="Arial"/>
      <family val="0"/>
      <charset val="1"/>
    </font>
    <font>
      <b val="true"/>
      <sz val="10"/>
      <color rgb="FF2E7D8C"/>
      <name val="Arial"/>
      <family val="0"/>
      <charset val="1"/>
    </font>
    <font>
      <sz val="10"/>
      <name val="Arial"/>
      <family val="0"/>
      <charset val="1"/>
    </font>
    <font>
      <i val="true"/>
      <sz val="10"/>
      <name val="Arial"/>
      <family val="0"/>
      <charset val="1"/>
    </font>
    <font>
      <b val="true"/>
      <sz val="12"/>
      <color rgb="FF2E7D8C"/>
      <name val="Arial"/>
      <family val="0"/>
      <charset val="1"/>
    </font>
    <font>
      <b val="true"/>
      <sz val="10"/>
      <name val="Arial"/>
      <family val="0"/>
      <charset val="1"/>
    </font>
    <font>
      <b val="true"/>
      <sz val="11"/>
      <color rgb="FF1A1A1A"/>
      <name val="Consolas"/>
      <family val="0"/>
      <charset val="1"/>
    </font>
    <font>
      <b val="true"/>
      <sz val="10"/>
      <color rgb="FF1F4E5F"/>
      <name val="Consolas"/>
      <family val="0"/>
      <charset val="1"/>
    </font>
    <font>
      <sz val="10"/>
      <name val="Consolas"/>
      <family val="0"/>
      <charset val="1"/>
    </font>
    <font>
      <b val="true"/>
      <sz val="10"/>
      <name val="Consolas"/>
      <family val="0"/>
      <charset val="1"/>
    </font>
    <font>
      <b val="true"/>
      <sz val="11"/>
      <color rgb="FF2E7D8C"/>
      <name val="Arial"/>
      <family val="0"/>
      <charset val="1"/>
    </font>
    <font>
      <b val="true"/>
      <sz val="10"/>
      <color rgb="FFFFFFFF"/>
      <name val="Arial"/>
      <family val="0"/>
      <charset val="1"/>
    </font>
    <font>
      <sz val="10"/>
      <color rgb="FF0000FF"/>
      <name val="Arial"/>
      <family val="0"/>
      <charset val="1"/>
    </font>
    <font>
      <i val="true"/>
      <sz val="9"/>
      <color rgb="FF888888"/>
      <name val="Arial"/>
      <family val="0"/>
      <charset val="1"/>
    </font>
    <font>
      <sz val="9"/>
      <color rgb="FF666666"/>
      <name val="Arial"/>
      <family val="0"/>
      <charset val="1"/>
    </font>
    <font>
      <i val="true"/>
      <sz val="9"/>
      <color rgb="FF666666"/>
      <name val="Arial"/>
      <family val="0"/>
      <charset val="1"/>
    </font>
    <font>
      <b val="true"/>
      <sz val="9"/>
      <color rgb="FF2E7D8C"/>
      <name val="Arial"/>
      <family val="0"/>
      <charset val="1"/>
    </font>
    <font>
      <sz val="9"/>
      <color rgb="FF555555"/>
      <name val="Consolas"/>
      <family val="0"/>
      <charset val="1"/>
    </font>
    <font>
      <sz val="10"/>
      <color rgb="FF000000"/>
      <name val="Arial"/>
      <family val="0"/>
      <charset val="1"/>
    </font>
    <font>
      <b val="true"/>
      <sz val="10"/>
      <color rgb="FF000000"/>
      <name val="Arial"/>
      <family val="0"/>
      <charset val="1"/>
    </font>
    <font>
      <b val="true"/>
      <sz val="10"/>
      <color rgb="FF1F4E5F"/>
      <name val="Arial"/>
      <family val="0"/>
      <charset val="1"/>
    </font>
    <font>
      <sz val="10"/>
      <color rgb="FF008000"/>
      <name val="Arial"/>
      <family val="0"/>
      <charset val="1"/>
    </font>
    <font>
      <b val="true"/>
      <sz val="11"/>
      <color rgb="FF1F4E5F"/>
      <name val="Arial"/>
      <family val="0"/>
      <charset val="1"/>
    </font>
    <font>
      <i val="true"/>
      <sz val="9"/>
      <color rgb="FF555555"/>
      <name val="Arial"/>
      <family val="0"/>
      <charset val="1"/>
    </font>
  </fonts>
  <fills count="7">
    <fill>
      <patternFill patternType="none"/>
    </fill>
    <fill>
      <patternFill patternType="gray125"/>
    </fill>
    <fill>
      <patternFill patternType="solid">
        <fgColor rgb="FFF2F2F2"/>
        <bgColor rgb="FFE8F0F2"/>
      </patternFill>
    </fill>
    <fill>
      <patternFill patternType="solid">
        <fgColor rgb="FFFFF6D5"/>
        <bgColor rgb="FFF2F2F2"/>
      </patternFill>
    </fill>
    <fill>
      <patternFill patternType="solid">
        <fgColor rgb="FF1F4E5F"/>
        <bgColor rgb="FF555555"/>
      </patternFill>
    </fill>
    <fill>
      <patternFill patternType="solid">
        <fgColor rgb="FFFFFFFF"/>
        <bgColor rgb="FFF2F2F2"/>
      </patternFill>
    </fill>
    <fill>
      <patternFill patternType="solid">
        <fgColor rgb="FFE8F0F2"/>
        <bgColor rgb="FFF2F2F2"/>
      </patternFill>
    </fill>
  </fills>
  <borders count="4">
    <border diagonalUp="false" diagonalDown="false">
      <left/>
      <right/>
      <top/>
      <bottom/>
      <diagonal/>
    </border>
    <border diagonalUp="false" diagonalDown="false">
      <left/>
      <right/>
      <top/>
      <bottom style="thin">
        <color rgb="FF2E7D8C"/>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2" borderId="2" xfId="0" applyFont="true" applyBorder="true" applyAlignment="true" applyProtection="false">
      <alignment horizontal="general" vertical="center" textRotation="0" wrapText="true" indent="1" shrinkToFit="false"/>
      <protection locked="true" hidden="false"/>
    </xf>
    <xf numFmtId="164" fontId="12" fillId="0" borderId="3" xfId="0" applyFont="true" applyBorder="true" applyAlignment="true" applyProtection="false">
      <alignment horizontal="left" vertical="bottom" textRotation="0" wrapText="false" indent="1" shrinkToFit="false"/>
      <protection locked="true" hidden="false"/>
    </xf>
    <xf numFmtId="164" fontId="7" fillId="0" borderId="3" xfId="0" applyFont="true" applyBorder="true" applyAlignment="true" applyProtection="false">
      <alignment horizontal="general" vertical="center" textRotation="0" wrapText="true" indent="1" shrinkToFit="false"/>
      <protection locked="true" hidden="false"/>
    </xf>
    <xf numFmtId="164" fontId="6" fillId="0" borderId="3" xfId="0" applyFont="true" applyBorder="true" applyAlignment="true" applyProtection="false">
      <alignment horizontal="general" vertical="center" textRotation="0" wrapText="true" indent="0" shrinkToFit="false"/>
      <protection locked="true" hidden="false"/>
    </xf>
    <xf numFmtId="164" fontId="13" fillId="0" borderId="3" xfId="0" applyFont="true" applyBorder="true" applyAlignment="true" applyProtection="false">
      <alignment horizontal="general" vertical="center" textRotation="0" wrapText="true" indent="1" shrinkToFit="false"/>
      <protection locked="true" hidden="false"/>
    </xf>
    <xf numFmtId="164" fontId="6" fillId="3" borderId="3" xfId="0" applyFont="true" applyBorder="true" applyAlignment="true" applyProtection="false">
      <alignment horizontal="general" vertical="center" textRotation="0" wrapText="true" indent="0" shrinkToFit="false"/>
      <protection locked="true" hidden="false"/>
    </xf>
    <xf numFmtId="164" fontId="14" fillId="3" borderId="3" xfId="0" applyFont="true" applyBorder="true" applyAlignment="true" applyProtection="false">
      <alignment horizontal="general" vertical="center" textRotation="0" wrapText="true" indent="1"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4" borderId="3" xfId="0" applyFont="true" applyBorder="true" applyAlignment="true" applyProtection="false">
      <alignment horizontal="center" vertical="center" textRotation="0" wrapText="tru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4" fontId="17" fillId="5" borderId="3" xfId="0" applyFont="true" applyBorder="true" applyAlignment="true" applyProtection="false">
      <alignment horizontal="center" vertical="bottom" textRotation="0" wrapText="false" indent="0" shrinkToFit="false"/>
      <protection locked="true" hidden="false"/>
    </xf>
    <xf numFmtId="164" fontId="7" fillId="0" borderId="3" xfId="0" applyFont="true" applyBorder="true" applyAlignment="true" applyProtection="false">
      <alignment horizontal="center" vertical="bottom" textRotation="0" wrapText="false" indent="0" shrinkToFit="false"/>
      <protection locked="true" hidden="false"/>
    </xf>
    <xf numFmtId="164" fontId="18" fillId="0" borderId="3" xfId="0" applyFont="true" applyBorder="true" applyAlignment="true" applyProtection="false">
      <alignment horizontal="general" vertical="bottom" textRotation="0" wrapText="false" indent="0" shrinkToFit="false"/>
      <protection locked="true" hidden="false"/>
    </xf>
    <xf numFmtId="164" fontId="19" fillId="0" borderId="3" xfId="0" applyFont="true" applyBorder="true" applyAlignment="true" applyProtection="false">
      <alignment horizontal="general" vertical="bottom" textRotation="0" wrapText="false" indent="0" shrinkToFit="false"/>
      <protection locked="true" hidden="false"/>
    </xf>
    <xf numFmtId="164" fontId="17" fillId="3" borderId="3"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17" fillId="3" borderId="3"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center" textRotation="0" wrapText="true" indent="0" shrinkToFit="false"/>
      <protection locked="true" hidden="false"/>
    </xf>
    <xf numFmtId="166" fontId="17" fillId="5" borderId="3"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6" fontId="23" fillId="0" borderId="3" xfId="0" applyFont="true" applyBorder="true" applyAlignment="true" applyProtection="false">
      <alignment horizontal="center" vertical="bottom" textRotation="0" wrapText="false" indent="0" shrinkToFit="false"/>
      <protection locked="true" hidden="false"/>
    </xf>
    <xf numFmtId="167" fontId="23" fillId="0" borderId="3" xfId="0" applyFont="true" applyBorder="true" applyAlignment="true" applyProtection="false">
      <alignment horizontal="center" vertical="bottom" textRotation="0" wrapText="false" indent="0" shrinkToFit="false"/>
      <protection locked="true" hidden="false"/>
    </xf>
    <xf numFmtId="167" fontId="17" fillId="5" borderId="3" xfId="0" applyFont="true" applyBorder="true" applyAlignment="true" applyProtection="false">
      <alignment horizontal="center" vertical="bottom" textRotation="0" wrapText="false" indent="0" shrinkToFit="false"/>
      <protection locked="true" hidden="false"/>
    </xf>
    <xf numFmtId="168" fontId="23" fillId="0" borderId="3"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general" vertical="center" textRotation="0" wrapText="true" indent="0" shrinkToFit="false"/>
      <protection locked="true" hidden="false"/>
    </xf>
    <xf numFmtId="167" fontId="24" fillId="6" borderId="3" xfId="0" applyFont="true" applyBorder="true" applyAlignment="true" applyProtection="false">
      <alignment horizontal="center" vertical="bottom" textRotation="0" wrapText="false" indent="0" shrinkToFit="false"/>
      <protection locked="true" hidden="false"/>
    </xf>
    <xf numFmtId="164" fontId="20" fillId="5" borderId="3" xfId="0" applyFont="true" applyBorder="true" applyAlignment="true" applyProtection="false">
      <alignment horizontal="center" vertical="bottom" textRotation="0" wrapText="false" indent="0" shrinkToFit="false"/>
      <protection locked="true" hidden="false"/>
    </xf>
    <xf numFmtId="164" fontId="25" fillId="0" borderId="3" xfId="0" applyFont="true" applyBorder="true" applyAlignment="true" applyProtection="false">
      <alignment horizontal="general" vertical="center" textRotation="0" wrapText="true" indent="0" shrinkToFit="false"/>
      <protection locked="true" hidden="false"/>
    </xf>
    <xf numFmtId="167" fontId="25" fillId="3" borderId="3" xfId="0" applyFont="true" applyBorder="true" applyAlignment="true" applyProtection="false">
      <alignment horizontal="center" vertical="bottom" textRotation="0" wrapText="false" indent="0" shrinkToFit="false"/>
      <protection locked="true" hidden="false"/>
    </xf>
    <xf numFmtId="167" fontId="26" fillId="0" borderId="3" xfId="0" applyFont="true" applyBorder="true" applyAlignment="true" applyProtection="false">
      <alignment horizontal="center" vertical="bottom" textRotation="0" wrapText="false" indent="0" shrinkToFit="false"/>
      <protection locked="true" hidden="false"/>
    </xf>
    <xf numFmtId="165" fontId="23" fillId="0" borderId="3" xfId="0" applyFont="true" applyBorder="true" applyAlignment="true" applyProtection="false">
      <alignment horizontal="center" vertical="bottom" textRotation="0" wrapText="false" indent="0" shrinkToFit="false"/>
      <protection locked="true" hidden="false"/>
    </xf>
    <xf numFmtId="169" fontId="27" fillId="3" borderId="3"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true" indent="0" shrinkToFit="false"/>
      <protection locked="true" hidden="false"/>
    </xf>
    <xf numFmtId="166" fontId="26" fillId="0" borderId="3" xfId="0" applyFont="true" applyBorder="true" applyAlignment="true" applyProtection="false">
      <alignment horizontal="center" vertical="bottom" textRotation="0" wrapText="false" indent="0" shrinkToFit="false"/>
      <protection locked="true" hidden="false"/>
    </xf>
    <xf numFmtId="167" fontId="26" fillId="6" borderId="3" xfId="0" applyFont="true" applyBorder="true" applyAlignment="true" applyProtection="false">
      <alignment horizontal="center" vertical="bottom" textRotation="0" wrapText="false" indent="0" shrinkToFit="false"/>
      <protection locked="true" hidden="false"/>
    </xf>
    <xf numFmtId="167" fontId="27" fillId="3" borderId="3" xfId="0" applyFont="true" applyBorder="true" applyAlignment="true" applyProtection="false">
      <alignment horizontal="center" vertical="bottom" textRotation="0" wrapText="false" indent="0" shrinkToFit="false"/>
      <protection locked="true" hidden="false"/>
    </xf>
    <xf numFmtId="168" fontId="26" fillId="6" borderId="3" xfId="0" applyFont="true" applyBorder="true" applyAlignment="true" applyProtection="false">
      <alignment horizontal="center" vertical="bottom" textRotation="0" wrapText="false" indent="0" shrinkToFit="false"/>
      <protection locked="true" hidden="false"/>
    </xf>
    <xf numFmtId="168" fontId="26" fillId="0" borderId="3" xfId="0" applyFont="true" applyBorder="true" applyAlignment="true" applyProtection="false">
      <alignment horizontal="center" vertical="bottom" textRotation="0" wrapText="false" indent="0" shrinkToFit="false"/>
      <protection locked="true" hidden="false"/>
    </xf>
    <xf numFmtId="166" fontId="26" fillId="6" borderId="3" xfId="0" applyFont="true" applyBorder="true" applyAlignment="true" applyProtection="false">
      <alignment horizontal="center" vertical="bottom" textRotation="0" wrapText="false" indent="0" shrinkToFit="false"/>
      <protection locked="true" hidden="false"/>
    </xf>
    <xf numFmtId="169" fontId="26" fillId="0" borderId="3"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9999FF"/>
      <rgbColor rgb="FF993366"/>
      <rgbColor rgb="FFFFF6D5"/>
      <rgbColor rgb="FFE8F0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4E5F"/>
      <rgbColor rgb="FF2E7D8C"/>
      <rgbColor rgb="FF003300"/>
      <rgbColor rgb="FF333300"/>
      <rgbColor rgb="FF993300"/>
      <rgbColor rgb="FF993366"/>
      <rgbColor rgb="FF555555"/>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60"/>
  </cols>
  <sheetData>
    <row r="2" customFormat="false" ht="19.5" hidden="false" customHeight="true" outlineLevel="0" collapsed="false">
      <c r="B2" s="2" t="s">
        <v>0</v>
      </c>
      <c r="C2" s="2"/>
    </row>
    <row r="3" customFormat="false" ht="15" hidden="false" customHeight="true" outlineLevel="0" collapsed="false">
      <c r="B3" s="3" t="s">
        <v>1</v>
      </c>
      <c r="C3" s="3"/>
    </row>
    <row r="5" customFormat="false" ht="55.5" hidden="false" customHeight="true" outlineLevel="0" collapsed="false">
      <c r="B5" s="4" t="s">
        <v>2</v>
      </c>
      <c r="C5" s="5" t="s">
        <v>3</v>
      </c>
    </row>
    <row r="6" customFormat="false" ht="27.75" hidden="false" customHeight="true" outlineLevel="0" collapsed="false">
      <c r="B6" s="4" t="s">
        <v>4</v>
      </c>
      <c r="C6" s="5" t="s">
        <v>5</v>
      </c>
    </row>
    <row r="7" customFormat="false" ht="42" hidden="false" customHeight="true" outlineLevel="0" collapsed="false">
      <c r="B7" s="4" t="s">
        <v>6</v>
      </c>
      <c r="C7" s="5" t="s">
        <v>7</v>
      </c>
    </row>
    <row r="8" customFormat="false" ht="27.75" hidden="false" customHeight="true" outlineLevel="0" collapsed="false">
      <c r="B8" s="4" t="s">
        <v>8</v>
      </c>
      <c r="C8" s="5" t="s">
        <v>9</v>
      </c>
    </row>
    <row r="9" customFormat="false" ht="27.75" hidden="false" customHeight="true" outlineLevel="0" collapsed="false">
      <c r="B9" s="4" t="s">
        <v>10</v>
      </c>
      <c r="C9" s="5" t="s">
        <v>11</v>
      </c>
    </row>
    <row r="10" customFormat="false" ht="42" hidden="false" customHeight="true" outlineLevel="0" collapsed="false">
      <c r="B10" s="4" t="s">
        <v>12</v>
      </c>
      <c r="C10" s="5" t="s">
        <v>13</v>
      </c>
    </row>
    <row r="11" customFormat="false" ht="27.75" hidden="false" customHeight="true" outlineLevel="0" collapsed="false">
      <c r="B11" s="4" t="s">
        <v>14</v>
      </c>
      <c r="C11" s="5" t="s">
        <v>15</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88"/>
  </cols>
  <sheetData>
    <row r="2" customFormat="false" ht="19.7" hidden="false" customHeight="false" outlineLevel="0" collapsed="false">
      <c r="B2" s="6" t="s">
        <v>16</v>
      </c>
      <c r="C2" s="6"/>
    </row>
    <row r="3" customFormat="false" ht="15" hidden="false" customHeight="false" outlineLevel="0" collapsed="false">
      <c r="B3" s="7" t="s">
        <v>17</v>
      </c>
      <c r="C3" s="7"/>
    </row>
    <row r="5" customFormat="false" ht="55.5" hidden="false" customHeight="true" outlineLevel="0" collapsed="false">
      <c r="B5" s="8" t="s">
        <v>18</v>
      </c>
      <c r="C5" s="8"/>
    </row>
    <row r="8" customFormat="false" ht="15" hidden="false" customHeight="false" outlineLevel="0" collapsed="false">
      <c r="B8" s="9" t="s">
        <v>19</v>
      </c>
      <c r="C8" s="9"/>
    </row>
    <row r="10" customFormat="false" ht="84" hidden="false" customHeight="true" outlineLevel="0" collapsed="false">
      <c r="B10" s="10" t="s">
        <v>20</v>
      </c>
      <c r="C10" s="10"/>
    </row>
    <row r="14" customFormat="false" ht="13.5" hidden="false" customHeight="true" outlineLevel="0" collapsed="false">
      <c r="B14" s="11" t="s">
        <v>21</v>
      </c>
      <c r="C14" s="11"/>
    </row>
    <row r="15" customFormat="false" ht="19.5" hidden="false" customHeight="true" outlineLevel="0" collapsed="false">
      <c r="B15" s="12" t="s">
        <v>22</v>
      </c>
      <c r="C15" s="12"/>
    </row>
    <row r="17" customFormat="false" ht="19.5" hidden="false" customHeight="true" outlineLevel="0" collapsed="false">
      <c r="B17" s="12" t="s">
        <v>23</v>
      </c>
      <c r="C17" s="12"/>
    </row>
    <row r="19" customFormat="false" ht="19.5" hidden="false" customHeight="true" outlineLevel="0" collapsed="false">
      <c r="B19" s="12" t="s">
        <v>24</v>
      </c>
      <c r="C19" s="12"/>
    </row>
    <row r="22" customFormat="false" ht="13.5" hidden="false" customHeight="true" outlineLevel="0" collapsed="false">
      <c r="B22" s="11" t="s">
        <v>25</v>
      </c>
      <c r="C22" s="11"/>
    </row>
    <row r="23" customFormat="false" ht="15" hidden="false" customHeight="false" outlineLevel="0" collapsed="false">
      <c r="B23" s="13" t="s">
        <v>26</v>
      </c>
      <c r="C23" s="14" t="s">
        <v>27</v>
      </c>
    </row>
    <row r="24" customFormat="false" ht="23.85" hidden="false" customHeight="false" outlineLevel="0" collapsed="false">
      <c r="B24" s="13" t="s">
        <v>28</v>
      </c>
      <c r="C24" s="14" t="s">
        <v>29</v>
      </c>
    </row>
    <row r="25" customFormat="false" ht="15" hidden="false" customHeight="false" outlineLevel="0" collapsed="false">
      <c r="B25" s="13" t="s">
        <v>30</v>
      </c>
      <c r="C25" s="14" t="s">
        <v>31</v>
      </c>
    </row>
    <row r="26" customFormat="false" ht="15" hidden="false" customHeight="false" outlineLevel="0" collapsed="false">
      <c r="B26" s="13" t="s">
        <v>32</v>
      </c>
      <c r="C26" s="14" t="s">
        <v>33</v>
      </c>
    </row>
    <row r="27" customFormat="false" ht="15" hidden="false" customHeight="false" outlineLevel="0" collapsed="false">
      <c r="B27" s="13" t="s">
        <v>34</v>
      </c>
      <c r="C27" s="14" t="s">
        <v>35</v>
      </c>
    </row>
    <row r="28" customFormat="false" ht="15" hidden="false" customHeight="false" outlineLevel="0" collapsed="false">
      <c r="B28" s="13" t="s">
        <v>36</v>
      </c>
      <c r="C28" s="14" t="s">
        <v>37</v>
      </c>
    </row>
    <row r="29" customFormat="false" ht="15" hidden="false" customHeight="false" outlineLevel="0" collapsed="false">
      <c r="B29" s="13" t="s">
        <v>38</v>
      </c>
      <c r="C29" s="14" t="s">
        <v>39</v>
      </c>
    </row>
    <row r="31" customFormat="false" ht="13.5" hidden="false" customHeight="true" outlineLevel="0" collapsed="false">
      <c r="B31" s="11" t="s">
        <v>40</v>
      </c>
      <c r="C31" s="11"/>
    </row>
    <row r="32" customFormat="false" ht="13.5" hidden="false" customHeight="true" outlineLevel="0" collapsed="false">
      <c r="B32" s="10" t="s">
        <v>41</v>
      </c>
      <c r="C32" s="10"/>
    </row>
    <row r="33" customFormat="false" ht="13.5" hidden="false" customHeight="true" outlineLevel="0" collapsed="false">
      <c r="B33" s="10" t="s">
        <v>42</v>
      </c>
      <c r="C33" s="10"/>
    </row>
    <row r="34" customFormat="false" ht="13.5" hidden="false" customHeight="true" outlineLevel="0" collapsed="false">
      <c r="B34" s="10" t="s">
        <v>43</v>
      </c>
      <c r="C34" s="10"/>
    </row>
    <row r="35" customFormat="false" ht="13.5" hidden="false" customHeight="true" outlineLevel="0" collapsed="false">
      <c r="B35" s="10" t="s">
        <v>44</v>
      </c>
      <c r="C35" s="10"/>
    </row>
    <row r="36" customFormat="false" ht="27.75" hidden="false" customHeight="true" outlineLevel="0" collapsed="false">
      <c r="B36" s="10" t="s">
        <v>45</v>
      </c>
      <c r="C36" s="10"/>
    </row>
    <row r="38" customFormat="false" ht="15" hidden="false" customHeight="false" outlineLevel="0" collapsed="false">
      <c r="B38" s="9" t="s">
        <v>46</v>
      </c>
      <c r="C38" s="9"/>
    </row>
    <row r="40" customFormat="false" ht="42" hidden="false" customHeight="true" outlineLevel="0" collapsed="false">
      <c r="B40" s="8" t="s">
        <v>47</v>
      </c>
      <c r="C40" s="8"/>
    </row>
    <row r="43" customFormat="false" ht="18" hidden="false" customHeight="true" outlineLevel="0" collapsed="false">
      <c r="B43" s="15" t="s">
        <v>48</v>
      </c>
      <c r="C43" s="16" t="s">
        <v>49</v>
      </c>
    </row>
    <row r="44" customFormat="false" ht="18" hidden="false" customHeight="true" outlineLevel="0" collapsed="false">
      <c r="B44" s="15" t="s">
        <v>50</v>
      </c>
      <c r="C44" s="16" t="s">
        <v>51</v>
      </c>
    </row>
    <row r="45" customFormat="false" ht="18" hidden="false" customHeight="true" outlineLevel="0" collapsed="false">
      <c r="B45" s="15" t="s">
        <v>52</v>
      </c>
      <c r="C45" s="16" t="s">
        <v>53</v>
      </c>
    </row>
    <row r="46" customFormat="false" ht="18" hidden="false" customHeight="true" outlineLevel="0" collapsed="false">
      <c r="B46" s="15" t="s">
        <v>54</v>
      </c>
      <c r="C46" s="16" t="s">
        <v>55</v>
      </c>
    </row>
    <row r="47" customFormat="false" ht="18" hidden="false" customHeight="true" outlineLevel="0" collapsed="false">
      <c r="B47" s="15" t="s">
        <v>56</v>
      </c>
      <c r="C47" s="16" t="s">
        <v>57</v>
      </c>
    </row>
    <row r="48" customFormat="false" ht="18" hidden="false" customHeight="true" outlineLevel="0" collapsed="false">
      <c r="B48" s="15" t="s">
        <v>58</v>
      </c>
      <c r="C48" s="16" t="s">
        <v>59</v>
      </c>
    </row>
    <row r="49" customFormat="false" ht="18" hidden="false" customHeight="true" outlineLevel="0" collapsed="false">
      <c r="B49" s="17" t="s">
        <v>60</v>
      </c>
      <c r="C49" s="18" t="s">
        <v>61</v>
      </c>
    </row>
    <row r="50" customFormat="false" ht="18" hidden="false" customHeight="true" outlineLevel="0" collapsed="false">
      <c r="B50" s="17" t="s">
        <v>62</v>
      </c>
      <c r="C50" s="18" t="s">
        <v>63</v>
      </c>
    </row>
    <row r="53" customFormat="false" ht="15" hidden="false" customHeight="false" outlineLevel="0" collapsed="false">
      <c r="B53" s="9" t="s">
        <v>64</v>
      </c>
      <c r="C53" s="9"/>
    </row>
    <row r="55" customFormat="false" ht="55.5" hidden="false" customHeight="true" outlineLevel="0" collapsed="false">
      <c r="B55" s="10" t="s">
        <v>65</v>
      </c>
      <c r="C55" s="10"/>
    </row>
    <row r="58" customFormat="false" ht="13.5" hidden="false" customHeight="true" outlineLevel="0" collapsed="false">
      <c r="B58" s="11" t="s">
        <v>21</v>
      </c>
      <c r="C58" s="11"/>
    </row>
    <row r="59" customFormat="false" ht="19.5" hidden="false" customHeight="true" outlineLevel="0" collapsed="false">
      <c r="B59" s="12" t="s">
        <v>66</v>
      </c>
      <c r="C59" s="12"/>
    </row>
    <row r="61" customFormat="false" ht="19.5" hidden="false" customHeight="true" outlineLevel="0" collapsed="false">
      <c r="B61" s="12" t="s">
        <v>67</v>
      </c>
      <c r="C61" s="12"/>
    </row>
    <row r="63" customFormat="false" ht="19.5" hidden="false" customHeight="true" outlineLevel="0" collapsed="false">
      <c r="B63" s="12" t="s">
        <v>68</v>
      </c>
      <c r="C63" s="12"/>
    </row>
    <row r="65" customFormat="false" ht="19.5" hidden="false" customHeight="true" outlineLevel="0" collapsed="false">
      <c r="B65" s="12" t="s">
        <v>69</v>
      </c>
      <c r="C65" s="12"/>
    </row>
    <row r="67" customFormat="false" ht="19.5" hidden="false" customHeight="true" outlineLevel="0" collapsed="false">
      <c r="B67" s="12" t="s">
        <v>70</v>
      </c>
      <c r="C67" s="12"/>
    </row>
    <row r="70" customFormat="false" ht="13.5" hidden="false" customHeight="true" outlineLevel="0" collapsed="false">
      <c r="B70" s="11" t="s">
        <v>25</v>
      </c>
      <c r="C70" s="11"/>
    </row>
    <row r="71" customFormat="false" ht="15" hidden="false" customHeight="false" outlineLevel="0" collapsed="false">
      <c r="B71" s="13" t="s">
        <v>71</v>
      </c>
      <c r="C71" s="14" t="s">
        <v>72</v>
      </c>
    </row>
    <row r="72" customFormat="false" ht="15" hidden="false" customHeight="false" outlineLevel="0" collapsed="false">
      <c r="B72" s="13" t="s">
        <v>73</v>
      </c>
      <c r="C72" s="14" t="s">
        <v>74</v>
      </c>
    </row>
    <row r="73" customFormat="false" ht="15" hidden="false" customHeight="false" outlineLevel="0" collapsed="false">
      <c r="B73" s="13" t="s">
        <v>75</v>
      </c>
      <c r="C73" s="14" t="s">
        <v>76</v>
      </c>
    </row>
    <row r="74" customFormat="false" ht="15" hidden="false" customHeight="false" outlineLevel="0" collapsed="false">
      <c r="B74" s="13" t="s">
        <v>77</v>
      </c>
      <c r="C74" s="14" t="s">
        <v>78</v>
      </c>
    </row>
    <row r="77" customFormat="false" ht="13.5" hidden="false" customHeight="true" outlineLevel="0" collapsed="false">
      <c r="B77" s="11" t="s">
        <v>79</v>
      </c>
      <c r="C77" s="11"/>
    </row>
    <row r="78" customFormat="false" ht="18" hidden="false" customHeight="true" outlineLevel="0" collapsed="false">
      <c r="B78" s="15" t="s">
        <v>80</v>
      </c>
      <c r="C78" s="16" t="s">
        <v>81</v>
      </c>
    </row>
    <row r="79" customFormat="false" ht="18" hidden="false" customHeight="true" outlineLevel="0" collapsed="false">
      <c r="B79" s="15" t="s">
        <v>82</v>
      </c>
      <c r="C79" s="16" t="s">
        <v>83</v>
      </c>
    </row>
    <row r="80" customFormat="false" ht="18" hidden="false" customHeight="true" outlineLevel="0" collapsed="false">
      <c r="B80" s="15" t="s">
        <v>84</v>
      </c>
      <c r="C80" s="16" t="s">
        <v>85</v>
      </c>
    </row>
    <row r="81" customFormat="false" ht="18" hidden="false" customHeight="true" outlineLevel="0" collapsed="false">
      <c r="B81" s="15" t="s">
        <v>86</v>
      </c>
      <c r="C81" s="16" t="s">
        <v>87</v>
      </c>
    </row>
    <row r="82" customFormat="false" ht="18" hidden="false" customHeight="true" outlineLevel="0" collapsed="false">
      <c r="B82" s="17" t="s">
        <v>88</v>
      </c>
      <c r="C82" s="18" t="s">
        <v>89</v>
      </c>
    </row>
    <row r="85" customFormat="false" ht="15" hidden="false" customHeight="false" outlineLevel="0" collapsed="false">
      <c r="B85" s="9" t="s">
        <v>90</v>
      </c>
      <c r="C85" s="9"/>
    </row>
    <row r="87" customFormat="false" ht="27.75" hidden="false" customHeight="true" outlineLevel="0" collapsed="false">
      <c r="B87" s="10" t="s">
        <v>91</v>
      </c>
      <c r="C87" s="10"/>
    </row>
    <row r="88" customFormat="false" ht="42" hidden="false" customHeight="true" outlineLevel="0" collapsed="false">
      <c r="B88" s="10" t="s">
        <v>92</v>
      </c>
      <c r="C88" s="10"/>
    </row>
    <row r="89" customFormat="false" ht="42" hidden="false" customHeight="true" outlineLevel="0" collapsed="false">
      <c r="B89" s="10" t="s">
        <v>93</v>
      </c>
      <c r="C89" s="10"/>
    </row>
    <row r="90" customFormat="false" ht="42" hidden="false" customHeight="true" outlineLevel="0" collapsed="false">
      <c r="B90" s="10" t="s">
        <v>94</v>
      </c>
      <c r="C90" s="10"/>
    </row>
    <row r="91" customFormat="false" ht="27.75" hidden="false" customHeight="true" outlineLevel="0" collapsed="false">
      <c r="B91" s="10" t="s">
        <v>95</v>
      </c>
      <c r="C91" s="10"/>
    </row>
  </sheetData>
  <mergeCells count="34">
    <mergeCell ref="B2:C2"/>
    <mergeCell ref="B3:C3"/>
    <mergeCell ref="B5:C5"/>
    <mergeCell ref="B8:C8"/>
    <mergeCell ref="B10:C10"/>
    <mergeCell ref="B14:C14"/>
    <mergeCell ref="B15:C15"/>
    <mergeCell ref="B17:C17"/>
    <mergeCell ref="B19:C19"/>
    <mergeCell ref="B22:C22"/>
    <mergeCell ref="B31:C31"/>
    <mergeCell ref="B32:C32"/>
    <mergeCell ref="B33:C33"/>
    <mergeCell ref="B34:C34"/>
    <mergeCell ref="B35:C35"/>
    <mergeCell ref="B36:C36"/>
    <mergeCell ref="B38:C38"/>
    <mergeCell ref="B40:C40"/>
    <mergeCell ref="B53:C53"/>
    <mergeCell ref="B55:C55"/>
    <mergeCell ref="B58:C58"/>
    <mergeCell ref="B59:C59"/>
    <mergeCell ref="B61:C61"/>
    <mergeCell ref="B63:C63"/>
    <mergeCell ref="B65:C65"/>
    <mergeCell ref="B67:C67"/>
    <mergeCell ref="B70:C70"/>
    <mergeCell ref="B77:C77"/>
    <mergeCell ref="B85:C85"/>
    <mergeCell ref="B87:C87"/>
    <mergeCell ref="B88:C88"/>
    <mergeCell ref="B89:C89"/>
    <mergeCell ref="B90:C90"/>
    <mergeCell ref="B91:C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3" min="3" style="1" width="14"/>
    <col collapsed="false" customWidth="true" hidden="false" outlineLevel="0" max="4" min="4" style="1" width="10"/>
    <col collapsed="false" customWidth="true" hidden="false" outlineLevel="0" max="5" min="5" style="1" width="52"/>
  </cols>
  <sheetData>
    <row r="2" customFormat="false" ht="19.5" hidden="false" customHeight="true" outlineLevel="0" collapsed="false">
      <c r="B2" s="2" t="s">
        <v>96</v>
      </c>
      <c r="C2" s="2"/>
    </row>
    <row r="3" customFormat="false" ht="15" hidden="false" customHeight="true" outlineLevel="0" collapsed="false">
      <c r="B3" s="3" t="s">
        <v>97</v>
      </c>
      <c r="C3" s="3"/>
    </row>
    <row r="4" customFormat="false" ht="15" hidden="false" customHeight="true" outlineLevel="0" collapsed="false">
      <c r="B4" s="19" t="s">
        <v>98</v>
      </c>
    </row>
    <row r="5" customFormat="false" ht="15" hidden="false" customHeight="true" outlineLevel="0" collapsed="false">
      <c r="B5" s="20" t="s">
        <v>99</v>
      </c>
      <c r="C5" s="20" t="s">
        <v>100</v>
      </c>
      <c r="D5" s="20" t="s">
        <v>101</v>
      </c>
      <c r="E5" s="20" t="s">
        <v>102</v>
      </c>
      <c r="F5" s="20" t="s">
        <v>103</v>
      </c>
    </row>
    <row r="6" customFormat="false" ht="15" hidden="false" customHeight="true" outlineLevel="0" collapsed="false">
      <c r="B6" s="21" t="s">
        <v>36</v>
      </c>
      <c r="C6" s="22" t="s">
        <v>104</v>
      </c>
      <c r="D6" s="23" t="n">
        <v>9.81</v>
      </c>
      <c r="E6" s="24" t="s">
        <v>105</v>
      </c>
      <c r="F6" s="25" t="s">
        <v>106</v>
      </c>
    </row>
    <row r="7" customFormat="false" ht="15" hidden="false" customHeight="true" outlineLevel="0" collapsed="false">
      <c r="B7" s="21" t="s">
        <v>107</v>
      </c>
      <c r="C7" s="22" t="s">
        <v>108</v>
      </c>
      <c r="D7" s="23" t="n">
        <v>1.2</v>
      </c>
      <c r="E7" s="24" t="s">
        <v>109</v>
      </c>
      <c r="F7" s="25" t="s">
        <v>106</v>
      </c>
    </row>
    <row r="8" customFormat="false" ht="15" hidden="false" customHeight="true" outlineLevel="0" collapsed="false">
      <c r="B8" s="21" t="s">
        <v>110</v>
      </c>
      <c r="C8" s="22" t="s">
        <v>111</v>
      </c>
      <c r="D8" s="23" t="n">
        <v>1005</v>
      </c>
      <c r="E8" s="24" t="s">
        <v>112</v>
      </c>
      <c r="F8" s="25" t="s">
        <v>106</v>
      </c>
    </row>
    <row r="9" customFormat="false" ht="15" hidden="false" customHeight="true" outlineLevel="0" collapsed="false">
      <c r="B9" s="21" t="s">
        <v>113</v>
      </c>
      <c r="C9" s="22" t="s">
        <v>114</v>
      </c>
      <c r="D9" s="23" t="n">
        <v>288.15</v>
      </c>
      <c r="E9" s="24" t="s">
        <v>115</v>
      </c>
      <c r="F9" s="25" t="s">
        <v>106</v>
      </c>
    </row>
    <row r="10" customFormat="false" ht="15" hidden="false" customHeight="true" outlineLevel="0" collapsed="false">
      <c r="B10" s="21" t="s">
        <v>116</v>
      </c>
      <c r="C10" s="22" t="s">
        <v>117</v>
      </c>
      <c r="D10" s="23" t="n">
        <v>0.606</v>
      </c>
      <c r="E10" s="24" t="s">
        <v>118</v>
      </c>
      <c r="F10" s="25" t="s">
        <v>106</v>
      </c>
    </row>
    <row r="12" customFormat="false" ht="15" hidden="false" customHeight="true" outlineLevel="0" collapsed="false">
      <c r="B12" s="19" t="s">
        <v>119</v>
      </c>
    </row>
    <row r="13" customFormat="false" ht="15" hidden="false" customHeight="true" outlineLevel="0" collapsed="false">
      <c r="B13" s="20" t="s">
        <v>99</v>
      </c>
      <c r="C13" s="20" t="s">
        <v>100</v>
      </c>
      <c r="D13" s="20" t="s">
        <v>101</v>
      </c>
      <c r="E13" s="20" t="s">
        <v>102</v>
      </c>
      <c r="F13" s="20" t="s">
        <v>120</v>
      </c>
    </row>
    <row r="14" customFormat="false" ht="15" hidden="false" customHeight="true" outlineLevel="0" collapsed="false">
      <c r="B14" s="21" t="s">
        <v>121</v>
      </c>
      <c r="C14" s="22" t="s">
        <v>122</v>
      </c>
      <c r="D14" s="23" t="n">
        <v>60.4</v>
      </c>
      <c r="E14" s="24" t="s">
        <v>123</v>
      </c>
      <c r="F14" s="26" t="s">
        <v>124</v>
      </c>
    </row>
    <row r="15" customFormat="false" ht="15" hidden="false" customHeight="true" outlineLevel="0" collapsed="false">
      <c r="B15" s="21" t="s">
        <v>125</v>
      </c>
      <c r="C15" s="22" t="s">
        <v>126</v>
      </c>
      <c r="D15" s="23" t="n">
        <v>6.86</v>
      </c>
      <c r="E15" s="24" t="s">
        <v>127</v>
      </c>
      <c r="F15" s="26" t="s">
        <v>128</v>
      </c>
    </row>
    <row r="16" customFormat="false" ht="15" hidden="false" customHeight="true" outlineLevel="0" collapsed="false">
      <c r="B16" s="21" t="s">
        <v>129</v>
      </c>
      <c r="C16" s="22" t="s">
        <v>130</v>
      </c>
      <c r="D16" s="23" t="n">
        <v>27.5</v>
      </c>
      <c r="E16" s="24" t="s">
        <v>127</v>
      </c>
      <c r="F16" s="26" t="s">
        <v>131</v>
      </c>
    </row>
    <row r="17" customFormat="false" ht="15" hidden="false" customHeight="true" outlineLevel="0" collapsed="false">
      <c r="B17" s="21" t="s">
        <v>132</v>
      </c>
      <c r="C17" s="22" t="s">
        <v>133</v>
      </c>
      <c r="D17" s="23" t="n">
        <v>853.75</v>
      </c>
      <c r="E17" s="24" t="s">
        <v>127</v>
      </c>
      <c r="F17" s="26" t="s">
        <v>134</v>
      </c>
    </row>
    <row r="18" customFormat="false" ht="15" hidden="false" customHeight="true" outlineLevel="0" collapsed="false">
      <c r="B18" s="21" t="s">
        <v>135</v>
      </c>
      <c r="C18" s="22" t="s">
        <v>136</v>
      </c>
      <c r="D18" s="23" t="n">
        <v>3.2</v>
      </c>
      <c r="E18" s="24" t="s">
        <v>137</v>
      </c>
      <c r="F18" s="26" t="s">
        <v>124</v>
      </c>
    </row>
    <row r="19" customFormat="false" ht="15" hidden="false" customHeight="true" outlineLevel="0" collapsed="false">
      <c r="B19" s="21" t="s">
        <v>71</v>
      </c>
      <c r="C19" s="22" t="s">
        <v>138</v>
      </c>
      <c r="D19" s="23" t="n">
        <v>0.022</v>
      </c>
      <c r="E19" s="24" t="s">
        <v>118</v>
      </c>
      <c r="F19" s="26" t="s">
        <v>139</v>
      </c>
    </row>
    <row r="20" customFormat="false" ht="15" hidden="false" customHeight="true" outlineLevel="0" collapsed="false">
      <c r="B20" s="21" t="s">
        <v>140</v>
      </c>
      <c r="C20" s="22" t="s">
        <v>141</v>
      </c>
      <c r="D20" s="23" t="n">
        <v>13.1</v>
      </c>
      <c r="E20" s="24" t="s">
        <v>118</v>
      </c>
      <c r="F20" s="26" t="s">
        <v>142</v>
      </c>
    </row>
    <row r="22" customFormat="false" ht="15" hidden="false" customHeight="true" outlineLevel="0" collapsed="false">
      <c r="B22" s="19" t="s">
        <v>143</v>
      </c>
    </row>
    <row r="23" customFormat="false" ht="15" hidden="false" customHeight="true" outlineLevel="0" collapsed="false">
      <c r="B23" s="20" t="s">
        <v>99</v>
      </c>
      <c r="C23" s="20" t="s">
        <v>100</v>
      </c>
      <c r="D23" s="20" t="s">
        <v>101</v>
      </c>
      <c r="E23" s="20" t="s">
        <v>102</v>
      </c>
      <c r="F23" s="20" t="s">
        <v>120</v>
      </c>
    </row>
    <row r="24" customFormat="false" ht="15" hidden="false" customHeight="true" outlineLevel="0" collapsed="false">
      <c r="B24" s="21" t="s">
        <v>75</v>
      </c>
      <c r="C24" s="22" t="s">
        <v>144</v>
      </c>
      <c r="D24" s="23" t="n">
        <v>42.95</v>
      </c>
      <c r="E24" s="24" t="s">
        <v>145</v>
      </c>
      <c r="F24" s="26" t="s">
        <v>146</v>
      </c>
    </row>
    <row r="25" customFormat="false" ht="15" hidden="false" customHeight="true" outlineLevel="0" collapsed="false">
      <c r="B25" s="21" t="s">
        <v>147</v>
      </c>
      <c r="C25" s="22" t="s">
        <v>148</v>
      </c>
      <c r="D25" s="23" t="n">
        <v>34.2</v>
      </c>
      <c r="E25" s="24" t="s">
        <v>149</v>
      </c>
      <c r="F25" s="26" t="s">
        <v>146</v>
      </c>
    </row>
    <row r="26" customFormat="false" ht="15" hidden="false" customHeight="true" outlineLevel="0" collapsed="false">
      <c r="B26" s="21" t="s">
        <v>150</v>
      </c>
      <c r="C26" s="22" t="s">
        <v>151</v>
      </c>
      <c r="D26" s="27" t="n">
        <v>0.8</v>
      </c>
      <c r="E26" s="24" t="s">
        <v>118</v>
      </c>
      <c r="F26" s="26" t="s">
        <v>152</v>
      </c>
    </row>
    <row r="27" customFormat="false" ht="15" hidden="false" customHeight="true" outlineLevel="0" collapsed="false">
      <c r="B27" s="21" t="s">
        <v>77</v>
      </c>
      <c r="C27" s="22" t="s">
        <v>153</v>
      </c>
      <c r="D27" s="27" t="n">
        <v>0.9</v>
      </c>
      <c r="E27" s="24" t="s">
        <v>118</v>
      </c>
      <c r="F27" s="26" t="s">
        <v>154</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7" min="3" style="1" width="13"/>
    <col collapsed="false" customWidth="true" hidden="false" outlineLevel="0" max="9" min="9" style="0" width="2"/>
  </cols>
  <sheetData>
    <row r="2" customFormat="false" ht="19.5" hidden="false" customHeight="true" outlineLevel="0" collapsed="false">
      <c r="B2" s="2" t="s">
        <v>155</v>
      </c>
      <c r="C2" s="2"/>
    </row>
    <row r="3" customFormat="false" ht="15" hidden="false" customHeight="true" outlineLevel="0" collapsed="false">
      <c r="B3" s="3" t="s">
        <v>156</v>
      </c>
      <c r="C3" s="3"/>
    </row>
    <row r="4" customFormat="false" ht="15" hidden="false" customHeight="true" outlineLevel="0" collapsed="false">
      <c r="B4" s="28" t="s">
        <v>157</v>
      </c>
      <c r="C4" s="29" t="n">
        <v>0.7</v>
      </c>
      <c r="D4" s="30" t="s">
        <v>158</v>
      </c>
    </row>
    <row r="6" customFormat="false" ht="15" hidden="false" customHeight="false" outlineLevel="0" collapsed="false">
      <c r="I6" s="31" t="s">
        <v>159</v>
      </c>
    </row>
    <row r="7" customFormat="false" ht="23.25" hidden="false" customHeight="true" outlineLevel="0" collapsed="false">
      <c r="B7" s="20" t="s">
        <v>160</v>
      </c>
      <c r="C7" s="20" t="s">
        <v>161</v>
      </c>
      <c r="D7" s="20" t="s">
        <v>162</v>
      </c>
      <c r="E7" s="20" t="s">
        <v>163</v>
      </c>
      <c r="F7" s="20" t="s">
        <v>164</v>
      </c>
    </row>
    <row r="8" customFormat="false" ht="15" hidden="false" customHeight="true" outlineLevel="0" collapsed="false">
      <c r="B8" s="32" t="s">
        <v>165</v>
      </c>
      <c r="C8" s="33" t="n">
        <v>10445</v>
      </c>
      <c r="D8" s="33" t="n">
        <v>14138</v>
      </c>
      <c r="E8" s="33" t="n">
        <v>49202</v>
      </c>
      <c r="F8" s="33" t="n">
        <v>102659</v>
      </c>
      <c r="I8" s="34" t="s">
        <v>166</v>
      </c>
    </row>
    <row r="9" customFormat="false" ht="15" hidden="false" customHeight="true" outlineLevel="0" collapsed="false">
      <c r="B9" s="32" t="s">
        <v>167</v>
      </c>
      <c r="C9" s="35" t="n">
        <f aca="false">C8*$C$4</f>
        <v>7311.5</v>
      </c>
      <c r="D9" s="35" t="n">
        <f aca="false">D8*$C$4</f>
        <v>9896.6</v>
      </c>
      <c r="E9" s="35" t="n">
        <f aca="false">E8*$C$4</f>
        <v>34441.4</v>
      </c>
      <c r="F9" s="35" t="n">
        <f aca="false">F8*$C$4</f>
        <v>71861.3</v>
      </c>
      <c r="I9" s="34" t="s">
        <v>168</v>
      </c>
    </row>
    <row r="10" customFormat="false" ht="15" hidden="false" customHeight="true" outlineLevel="0" collapsed="false">
      <c r="B10" s="32" t="s">
        <v>169</v>
      </c>
      <c r="C10" s="36" t="n">
        <f aca="false">1+0.0374*ABS(Inputs!$D$18)^0.8</f>
        <v>1.09484000863687</v>
      </c>
      <c r="D10" s="36" t="n">
        <f aca="false">1+0.0374*ABS(Inputs!$D$18)^0.8</f>
        <v>1.09484000863687</v>
      </c>
      <c r="E10" s="36" t="n">
        <f aca="false">1+0.0374*ABS(Inputs!$D$18)^0.8</f>
        <v>1.09484000863687</v>
      </c>
      <c r="F10" s="36" t="n">
        <f aca="false">1+0.0374*ABS(Inputs!$D$18)^0.8</f>
        <v>1.09484000863687</v>
      </c>
      <c r="I10" s="34" t="s">
        <v>170</v>
      </c>
    </row>
    <row r="12" customFormat="false" ht="15" hidden="false" customHeight="true" outlineLevel="0" collapsed="false">
      <c r="B12" s="28" t="s">
        <v>171</v>
      </c>
    </row>
    <row r="13" customFormat="false" ht="15" hidden="false" customHeight="true" outlineLevel="0" collapsed="false">
      <c r="B13" s="20" t="s">
        <v>172</v>
      </c>
      <c r="C13" s="20" t="s">
        <v>173</v>
      </c>
      <c r="D13" s="20" t="s">
        <v>174</v>
      </c>
      <c r="E13" s="20" t="s">
        <v>175</v>
      </c>
      <c r="F13" s="20" t="s">
        <v>176</v>
      </c>
    </row>
    <row r="14" customFormat="false" ht="15" hidden="false" customHeight="true" outlineLevel="0" collapsed="false">
      <c r="B14" s="32" t="s">
        <v>177</v>
      </c>
      <c r="C14" s="37" t="n">
        <v>2.5</v>
      </c>
      <c r="D14" s="37" t="n">
        <v>2.5</v>
      </c>
      <c r="E14" s="37" t="n">
        <v>2.5</v>
      </c>
      <c r="F14" s="37" t="n">
        <v>2.5</v>
      </c>
    </row>
    <row r="15" customFormat="false" ht="15" hidden="false" customHeight="true" outlineLevel="0" collapsed="false">
      <c r="B15" s="32" t="s">
        <v>178</v>
      </c>
      <c r="C15" s="38" t="n">
        <f aca="false">C9*1000/(Inputs!$D$7*Inputs!$D$8*Inputs!$D$14*C14)+Inputs!$D$9</f>
        <v>328.299693035924</v>
      </c>
      <c r="D15" s="38" t="n">
        <f aca="false">D9*1000/(Inputs!$D$7*Inputs!$D$8*Inputs!$D$14*D14)+Inputs!$D$9</f>
        <v>342.495271435318</v>
      </c>
      <c r="E15" s="38" t="n">
        <f aca="false">E9*1000/(Inputs!$D$7*Inputs!$D$8*Inputs!$D$14*E14)+Inputs!$D$9</f>
        <v>477.278309885451</v>
      </c>
      <c r="F15" s="38" t="n">
        <f aca="false">F9*1000/(Inputs!$D$7*Inputs!$D$8*Inputs!$D$14*F14)+Inputs!$D$9</f>
        <v>682.762478446619</v>
      </c>
      <c r="I15" s="34" t="s">
        <v>179</v>
      </c>
    </row>
    <row r="16" customFormat="false" ht="15" hidden="false" customHeight="true" outlineLevel="0" collapsed="false">
      <c r="B16" s="32" t="s">
        <v>180</v>
      </c>
      <c r="C16" s="36" t="n">
        <f aca="false">C10*Inputs!$D$10*(Inputs!$D$6*Inputs!$D$15*C9*1000/(Inputs!$D$7*Inputs!$D$8*Inputs!$D$14*C15))^(1/3)</f>
        <v>1.81804618499724</v>
      </c>
      <c r="D16" s="36" t="n">
        <f aca="false">D10*Inputs!$D$10*(Inputs!$D$6*Inputs!$D$15*D9*1000/(Inputs!$D$7*Inputs!$D$8*Inputs!$D$14*D15))^(1/3)</f>
        <v>1.98291175926271</v>
      </c>
      <c r="E16" s="36" t="n">
        <f aca="false">E10*Inputs!$D$10*(Inputs!$D$6*Inputs!$D$15*E9*1000/(Inputs!$D$7*Inputs!$D$8*Inputs!$D$14*E15))^(1/3)</f>
        <v>2.69027045388167</v>
      </c>
      <c r="F16" s="36" t="n">
        <f aca="false">F10*Inputs!$D$10*(Inputs!$D$6*Inputs!$D$15*F9*1000/(Inputs!$D$7*Inputs!$D$8*Inputs!$D$14*F15))^(1/3)</f>
        <v>3.05094737651171</v>
      </c>
      <c r="I16" s="34" t="s">
        <v>181</v>
      </c>
    </row>
    <row r="17" customFormat="false" ht="15" hidden="false" customHeight="true" outlineLevel="0" collapsed="false">
      <c r="B17" s="32" t="s">
        <v>182</v>
      </c>
      <c r="C17" s="38" t="n">
        <f aca="false">C9*1000/(Inputs!$D$7*Inputs!$D$8*Inputs!$D$14*C16)+Inputs!$D$9</f>
        <v>343.35994648987</v>
      </c>
      <c r="D17" s="38" t="n">
        <f aca="false">D9*1000/(Inputs!$D$7*Inputs!$D$8*Inputs!$D$14*D16)+Inputs!$D$9</f>
        <v>356.667006847956</v>
      </c>
      <c r="E17" s="38" t="n">
        <f aca="false">E9*1000/(Inputs!$D$7*Inputs!$D$8*Inputs!$D$14*E16)+Inputs!$D$9</f>
        <v>463.902134522912</v>
      </c>
      <c r="F17" s="38" t="n">
        <f aca="false">F9*1000/(Inputs!$D$7*Inputs!$D$8*Inputs!$D$14*F16)+Inputs!$D$9</f>
        <v>611.502412995237</v>
      </c>
    </row>
    <row r="18" customFormat="false" ht="15" hidden="false" customHeight="true" outlineLevel="0" collapsed="false">
      <c r="B18" s="32" t="s">
        <v>183</v>
      </c>
      <c r="C18" s="36" t="n">
        <f aca="false">C10*Inputs!$D$10*(Inputs!$D$6*Inputs!$D$15*C9*1000/(Inputs!$D$7*Inputs!$D$8*Inputs!$D$14*C17))^(1/3)</f>
        <v>1.79106711350517</v>
      </c>
      <c r="D18" s="36" t="n">
        <f aca="false">D10*Inputs!$D$10*(Inputs!$D$6*Inputs!$D$15*D9*1000/(Inputs!$D$7*Inputs!$D$8*Inputs!$D$14*D17))^(1/3)</f>
        <v>1.95629315725207</v>
      </c>
      <c r="E18" s="36" t="n">
        <f aca="false">E10*Inputs!$D$10*(Inputs!$D$6*Inputs!$D$15*E9*1000/(Inputs!$D$7*Inputs!$D$8*Inputs!$D$14*E17))^(1/3)</f>
        <v>2.71588296522704</v>
      </c>
      <c r="F18" s="36" t="n">
        <f aca="false">F10*Inputs!$D$10*(Inputs!$D$6*Inputs!$D$15*F9*1000/(Inputs!$D$7*Inputs!$D$8*Inputs!$D$14*F17))^(1/3)</f>
        <v>3.16513234398223</v>
      </c>
    </row>
    <row r="19" customFormat="false" ht="15" hidden="false" customHeight="true" outlineLevel="0" collapsed="false">
      <c r="B19" s="32" t="s">
        <v>184</v>
      </c>
      <c r="C19" s="38" t="n">
        <f aca="false">C9*1000/(Inputs!$D$7*Inputs!$D$8*Inputs!$D$14*C18)+Inputs!$D$9</f>
        <v>344.191580928464</v>
      </c>
      <c r="D19" s="38" t="n">
        <f aca="false">D9*1000/(Inputs!$D$7*Inputs!$D$8*Inputs!$D$14*D18)+Inputs!$D$9</f>
        <v>357.599293979608</v>
      </c>
      <c r="E19" s="38" t="n">
        <f aca="false">E9*1000/(Inputs!$D$7*Inputs!$D$8*Inputs!$D$14*E18)+Inputs!$D$9</f>
        <v>462.244679618899</v>
      </c>
      <c r="F19" s="38" t="n">
        <f aca="false">F9*1000/(Inputs!$D$7*Inputs!$D$8*Inputs!$D$14*F18)+Inputs!$D$9</f>
        <v>599.83718679085</v>
      </c>
    </row>
    <row r="20" customFormat="false" ht="15" hidden="false" customHeight="true" outlineLevel="0" collapsed="false">
      <c r="B20" s="32" t="s">
        <v>185</v>
      </c>
      <c r="C20" s="36" t="n">
        <f aca="false">C10*Inputs!$D$10*(Inputs!$D$6*Inputs!$D$15*C9*1000/(Inputs!$D$7*Inputs!$D$8*Inputs!$D$14*C19))^(1/3)</f>
        <v>1.78962342686766</v>
      </c>
      <c r="D20" s="36" t="n">
        <f aca="false">D10*Inputs!$D$10*(Inputs!$D$6*Inputs!$D$15*D9*1000/(Inputs!$D$7*Inputs!$D$8*Inputs!$D$14*D19))^(1/3)</f>
        <v>1.95459161196009</v>
      </c>
      <c r="E20" s="36" t="n">
        <f aca="false">E10*Inputs!$D$10*(Inputs!$D$6*Inputs!$D$15*E9*1000/(Inputs!$D$7*Inputs!$D$8*Inputs!$D$14*E19))^(1/3)</f>
        <v>2.719125175968</v>
      </c>
      <c r="F20" s="36" t="n">
        <f aca="false">F10*Inputs!$D$10*(Inputs!$D$6*Inputs!$D$15*F9*1000/(Inputs!$D$7*Inputs!$D$8*Inputs!$D$14*F19))^(1/3)</f>
        <v>3.18551853868432</v>
      </c>
    </row>
    <row r="21" customFormat="false" ht="15" hidden="false" customHeight="true" outlineLevel="0" collapsed="false">
      <c r="B21" s="32" t="s">
        <v>186</v>
      </c>
      <c r="C21" s="38" t="n">
        <f aca="false">C9*1000/(Inputs!$D$7*Inputs!$D$8*Inputs!$D$14*C20)+Inputs!$D$9</f>
        <v>344.236789590977</v>
      </c>
      <c r="D21" s="38" t="n">
        <f aca="false">D9*1000/(Inputs!$D$7*Inputs!$D$8*Inputs!$D$14*D20)+Inputs!$D$9</f>
        <v>357.659752194245</v>
      </c>
      <c r="E21" s="38" t="n">
        <f aca="false">E9*1000/(Inputs!$D$7*Inputs!$D$8*Inputs!$D$14*E20)+Inputs!$D$9</f>
        <v>462.037093868456</v>
      </c>
      <c r="F21" s="38" t="n">
        <f aca="false">F9*1000/(Inputs!$D$7*Inputs!$D$8*Inputs!$D$14*F20)+Inputs!$D$9</f>
        <v>597.842498767878</v>
      </c>
    </row>
    <row r="22" customFormat="false" ht="15" hidden="false" customHeight="true" outlineLevel="0" collapsed="false">
      <c r="B22" s="32" t="s">
        <v>187</v>
      </c>
      <c r="C22" s="36" t="n">
        <f aca="false">C10*Inputs!$D$10*(Inputs!$D$6*Inputs!$D$15*C9*1000/(Inputs!$D$7*Inputs!$D$8*Inputs!$D$14*C21))^(1/3)</f>
        <v>1.78954507961169</v>
      </c>
      <c r="D22" s="36" t="n">
        <f aca="false">D10*Inputs!$D$10*(Inputs!$D$6*Inputs!$D$15*D9*1000/(Inputs!$D$7*Inputs!$D$8*Inputs!$D$14*D21))^(1/3)</f>
        <v>1.95448147210642</v>
      </c>
      <c r="E22" s="36" t="n">
        <f aca="false">E10*Inputs!$D$10*(Inputs!$D$6*Inputs!$D$15*E9*1000/(Inputs!$D$7*Inputs!$D$8*Inputs!$D$14*E21))^(1/3)</f>
        <v>2.7195323345676</v>
      </c>
      <c r="F22" s="36" t="n">
        <f aca="false">F10*Inputs!$D$10*(Inputs!$D$6*Inputs!$D$15*F9*1000/(Inputs!$D$7*Inputs!$D$8*Inputs!$D$14*F21))^(1/3)</f>
        <v>3.18905740941318</v>
      </c>
    </row>
    <row r="23" customFormat="false" ht="15" hidden="false" customHeight="true" outlineLevel="0" collapsed="false">
      <c r="B23" s="32" t="s">
        <v>188</v>
      </c>
      <c r="C23" s="38" t="n">
        <f aca="false">C9*1000/(Inputs!$D$7*Inputs!$D$8*Inputs!$D$14*C22)+Inputs!$D$9</f>
        <v>344.239245101101</v>
      </c>
      <c r="D23" s="38" t="n">
        <f aca="false">D9*1000/(Inputs!$D$7*Inputs!$D$8*Inputs!$D$14*D22)+Inputs!$D$9</f>
        <v>357.663669240297</v>
      </c>
      <c r="E23" s="38" t="n">
        <f aca="false">E9*1000/(Inputs!$D$7*Inputs!$D$8*Inputs!$D$14*E22)+Inputs!$D$9</f>
        <v>462.011060118193</v>
      </c>
      <c r="F23" s="38" t="n">
        <f aca="false">F9*1000/(Inputs!$D$7*Inputs!$D$8*Inputs!$D$14*F22)+Inputs!$D$9</f>
        <v>597.498835553913</v>
      </c>
    </row>
    <row r="24" customFormat="false" ht="15" hidden="false" customHeight="true" outlineLevel="0" collapsed="false">
      <c r="B24" s="32" t="s">
        <v>189</v>
      </c>
      <c r="C24" s="36" t="n">
        <f aca="false">C10*Inputs!$D$10*(Inputs!$D$6*Inputs!$D$15*C9*1000/(Inputs!$D$7*Inputs!$D$8*Inputs!$D$14*C23))^(1/3)</f>
        <v>1.78954082457049</v>
      </c>
      <c r="D24" s="36" t="n">
        <f aca="false">D10*Inputs!$D$10*(Inputs!$D$6*Inputs!$D$15*D9*1000/(Inputs!$D$7*Inputs!$D$8*Inputs!$D$14*D23))^(1/3)</f>
        <v>1.95447433707748</v>
      </c>
      <c r="E24" s="36" t="n">
        <f aca="false">E10*Inputs!$D$10*(Inputs!$D$6*Inputs!$D$15*E9*1000/(Inputs!$D$7*Inputs!$D$8*Inputs!$D$14*E23))^(1/3)</f>
        <v>2.7195834143663</v>
      </c>
      <c r="F24" s="36" t="n">
        <f aca="false">F10*Inputs!$D$10*(Inputs!$D$6*Inputs!$D$15*F9*1000/(Inputs!$D$7*Inputs!$D$8*Inputs!$D$14*F23))^(1/3)</f>
        <v>3.18966870860432</v>
      </c>
    </row>
    <row r="26" customFormat="false" ht="15" hidden="false" customHeight="true" outlineLevel="0" collapsed="false">
      <c r="B26" s="39" t="s">
        <v>190</v>
      </c>
      <c r="C26" s="40" t="n">
        <f aca="false">C24</f>
        <v>1.78954082457049</v>
      </c>
      <c r="D26" s="40" t="n">
        <f aca="false">D24</f>
        <v>1.95447433707748</v>
      </c>
      <c r="E26" s="40" t="n">
        <f aca="false">E24</f>
        <v>2.7195834143663</v>
      </c>
      <c r="F26" s="40" t="n">
        <f aca="false">F24</f>
        <v>3.18966870860432</v>
      </c>
      <c r="I26" s="34" t="s">
        <v>191</v>
      </c>
    </row>
    <row r="27" customFormat="false" ht="15" hidden="false" customHeight="true" outlineLevel="0" collapsed="false">
      <c r="B27" s="32" t="s">
        <v>192</v>
      </c>
      <c r="C27" s="38" t="n">
        <f aca="false">C23-273.15</f>
        <v>71.0892451011015</v>
      </c>
      <c r="D27" s="38" t="n">
        <f aca="false">D23-273.15</f>
        <v>84.5136692402973</v>
      </c>
      <c r="E27" s="38" t="n">
        <f aca="false">E23-273.15</f>
        <v>188.861060118193</v>
      </c>
      <c r="F27" s="38" t="n">
        <f aca="false">F23-273.15</f>
        <v>324.348835553913</v>
      </c>
    </row>
    <row r="28" customFormat="false" ht="15" hidden="false" customHeight="true" outlineLevel="0" collapsed="false">
      <c r="B28" s="32" t="s">
        <v>193</v>
      </c>
      <c r="C28" s="41" t="s">
        <v>194</v>
      </c>
      <c r="D28" s="41" t="s">
        <v>194</v>
      </c>
      <c r="E28" s="41" t="s">
        <v>194</v>
      </c>
      <c r="F28" s="41" t="s">
        <v>194</v>
      </c>
    </row>
    <row r="29" customFormat="false" ht="15" hidden="false" customHeight="true" outlineLevel="0" collapsed="false">
      <c r="B29" s="42" t="s">
        <v>195</v>
      </c>
      <c r="C29" s="43" t="n">
        <f aca="false">MAX(C26,3)</f>
        <v>3</v>
      </c>
      <c r="D29" s="43" t="n">
        <f aca="false">MAX(D26,3)</f>
        <v>3</v>
      </c>
      <c r="E29" s="43" t="n">
        <f aca="false">MAX(E26,3)</f>
        <v>3</v>
      </c>
      <c r="F29" s="43" t="n">
        <f aca="false">MAX(F26,3)</f>
        <v>3.18966870860432</v>
      </c>
      <c r="I29" s="34" t="s">
        <v>196</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6" min="3" style="1" width="13"/>
    <col collapsed="false" customWidth="true" hidden="false" outlineLevel="0" max="8" min="8" style="0" width="2"/>
  </cols>
  <sheetData>
    <row r="2" customFormat="false" ht="19.5" hidden="false" customHeight="true" outlineLevel="0" collapsed="false">
      <c r="B2" s="2" t="s">
        <v>197</v>
      </c>
      <c r="C2" s="2"/>
    </row>
    <row r="3" customFormat="false" ht="15" hidden="false" customHeight="true" outlineLevel="0" collapsed="false">
      <c r="B3" s="3" t="s">
        <v>198</v>
      </c>
      <c r="C3" s="3"/>
    </row>
    <row r="5" customFormat="false" ht="15" hidden="false" customHeight="false" outlineLevel="0" collapsed="false">
      <c r="H5" s="31" t="s">
        <v>199</v>
      </c>
    </row>
    <row r="6" customFormat="false" ht="15" hidden="false" customHeight="true" outlineLevel="0" collapsed="false">
      <c r="B6" s="20" t="s">
        <v>160</v>
      </c>
      <c r="C6" s="20" t="s">
        <v>173</v>
      </c>
      <c r="D6" s="20" t="s">
        <v>174</v>
      </c>
      <c r="E6" s="20" t="s">
        <v>175</v>
      </c>
      <c r="F6" s="20" t="s">
        <v>176</v>
      </c>
    </row>
    <row r="7" customFormat="false" ht="15" hidden="false" customHeight="true" outlineLevel="0" collapsed="false">
      <c r="B7" s="32" t="s">
        <v>200</v>
      </c>
      <c r="C7" s="44" t="n">
        <f aca="false">CriticalVelocity!C29</f>
        <v>3</v>
      </c>
      <c r="D7" s="44" t="n">
        <f aca="false">CriticalVelocity!D29</f>
        <v>3</v>
      </c>
      <c r="E7" s="44" t="n">
        <f aca="false">CriticalVelocity!E29</f>
        <v>3</v>
      </c>
      <c r="F7" s="44" t="n">
        <f aca="false">CriticalVelocity!F29</f>
        <v>3.18966870860432</v>
      </c>
      <c r="H7" s="34" t="s">
        <v>201</v>
      </c>
    </row>
    <row r="8" customFormat="false" ht="15" hidden="false" customHeight="true" outlineLevel="0" collapsed="false">
      <c r="B8" s="32" t="s">
        <v>202</v>
      </c>
      <c r="C8" s="36" t="n">
        <f aca="false">Inputs!$D$7*Inputs!$D$9/(CriticalVelocity!C27+273.15)</f>
        <v>1.0044758258125</v>
      </c>
      <c r="D8" s="36" t="n">
        <f aca="false">Inputs!$D$7*Inputs!$D$9/(CriticalVelocity!D27+273.15)</f>
        <v>0.966774178474602</v>
      </c>
      <c r="E8" s="36" t="n">
        <f aca="false">Inputs!$D$7*Inputs!$D$9/(CriticalVelocity!E27+273.15)</f>
        <v>0.748423641441704</v>
      </c>
      <c r="F8" s="36" t="n">
        <f aca="false">Inputs!$D$7*Inputs!$D$9/(CriticalVelocity!F27+273.15)</f>
        <v>0.578712424902792</v>
      </c>
      <c r="H8" s="34" t="s">
        <v>203</v>
      </c>
    </row>
    <row r="9" customFormat="false" ht="15" hidden="false" customHeight="true" outlineLevel="0" collapsed="false">
      <c r="B9" s="32" t="s">
        <v>204</v>
      </c>
      <c r="C9" s="45" t="n">
        <f aca="false">4*Inputs!$D$14/Inputs!$D$16</f>
        <v>8.78545454545455</v>
      </c>
      <c r="D9" s="45" t="n">
        <f aca="false">4*Inputs!$D$14/Inputs!$D$16</f>
        <v>8.78545454545455</v>
      </c>
      <c r="E9" s="45" t="n">
        <f aca="false">4*Inputs!$D$14/Inputs!$D$16</f>
        <v>8.78545454545455</v>
      </c>
      <c r="F9" s="45" t="n">
        <f aca="false">4*Inputs!$D$14/Inputs!$D$16</f>
        <v>8.78545454545455</v>
      </c>
      <c r="H9" s="34" t="s">
        <v>205</v>
      </c>
    </row>
    <row r="10" customFormat="false" ht="15" hidden="false" customHeight="true" outlineLevel="0" collapsed="false">
      <c r="B10" s="32" t="s">
        <v>206</v>
      </c>
      <c r="C10" s="38" t="n">
        <f aca="false">(Inputs!$D$19*Inputs!$D$17/C9+Inputs!$D$20)*0.5*Inputs!$D$7*C7^2</f>
        <v>82.284707160596</v>
      </c>
      <c r="D10" s="38" t="n">
        <f aca="false">(Inputs!$D$19*Inputs!$D$17/D9+Inputs!$D$20)*0.5*Inputs!$D$7*D7^2</f>
        <v>82.284707160596</v>
      </c>
      <c r="E10" s="38" t="n">
        <f aca="false">(Inputs!$D$19*Inputs!$D$17/E9+Inputs!$D$20)*0.5*Inputs!$D$7*E7^2</f>
        <v>82.284707160596</v>
      </c>
      <c r="F10" s="38" t="n">
        <f aca="false">(Inputs!$D$19*Inputs!$D$17/F9+Inputs!$D$20)*0.5*Inputs!$D$7*F7^2</f>
        <v>93.0181663770293</v>
      </c>
      <c r="H10" s="34" t="s">
        <v>207</v>
      </c>
    </row>
    <row r="11" customFormat="false" ht="15" hidden="false" customHeight="true" outlineLevel="0" collapsed="false">
      <c r="B11" s="32" t="s">
        <v>208</v>
      </c>
      <c r="C11" s="35" t="n">
        <f aca="false">C10*Inputs!$D$14</f>
        <v>4969.9963125</v>
      </c>
      <c r="D11" s="35" t="n">
        <f aca="false">D10*Inputs!$D$14</f>
        <v>4969.9963125</v>
      </c>
      <c r="E11" s="35" t="n">
        <f aca="false">E10*Inputs!$D$14</f>
        <v>4969.9963125</v>
      </c>
      <c r="F11" s="35" t="n">
        <f aca="false">F10*Inputs!$D$14</f>
        <v>5618.29724917257</v>
      </c>
      <c r="H11" s="34" t="s">
        <v>209</v>
      </c>
    </row>
    <row r="12" customFormat="false" ht="15" hidden="false" customHeight="true" outlineLevel="0" collapsed="false">
      <c r="B12" s="32" t="s">
        <v>210</v>
      </c>
      <c r="C12" s="35" t="n">
        <f aca="false">Inputs!$D$7*Inputs!$D$24*(Inputs!$D$25-C7)*Inputs!$D$27*Inputs!$D$26</f>
        <v>1157.79456</v>
      </c>
      <c r="D12" s="35" t="n">
        <f aca="false">Inputs!$D$7*Inputs!$D$24*(Inputs!$D$25-D7)*Inputs!$D$27*Inputs!$D$26</f>
        <v>1157.79456</v>
      </c>
      <c r="E12" s="35" t="n">
        <f aca="false">Inputs!$D$7*Inputs!$D$24*(Inputs!$D$25-E7)*Inputs!$D$27*Inputs!$D$26</f>
        <v>1157.79456</v>
      </c>
      <c r="F12" s="35" t="n">
        <f aca="false">Inputs!$D$7*Inputs!$D$24*(Inputs!$D$25-F7)*Inputs!$D$27*Inputs!$D$26</f>
        <v>1150.75618182614</v>
      </c>
      <c r="H12" s="34" t="s">
        <v>211</v>
      </c>
    </row>
    <row r="13" customFormat="false" ht="15" hidden="false" customHeight="true" outlineLevel="0" collapsed="false">
      <c r="B13" s="32" t="s">
        <v>212</v>
      </c>
      <c r="C13" s="45" t="n">
        <f aca="false">C11/C12</f>
        <v>4.29264092629698</v>
      </c>
      <c r="D13" s="45" t="n">
        <f aca="false">D11/D12</f>
        <v>4.29264092629698</v>
      </c>
      <c r="E13" s="45" t="n">
        <f aca="false">E11/E12</f>
        <v>4.29264092629698</v>
      </c>
      <c r="F13" s="45" t="n">
        <f aca="false">F11/F12</f>
        <v>4.88226553800202</v>
      </c>
    </row>
    <row r="14" customFormat="false" ht="15" hidden="false" customHeight="true" outlineLevel="0" collapsed="false">
      <c r="B14" s="42" t="s">
        <v>213</v>
      </c>
      <c r="C14" s="46" t="n">
        <f aca="false">ROUNDUP(C13,0)</f>
        <v>5</v>
      </c>
      <c r="D14" s="46" t="n">
        <f aca="false">ROUNDUP(D13,0)</f>
        <v>5</v>
      </c>
      <c r="E14" s="46" t="n">
        <f aca="false">ROUNDUP(E13,0)</f>
        <v>5</v>
      </c>
      <c r="F14" s="46" t="n">
        <f aca="false">ROUNDUP(F13,0)</f>
        <v>5</v>
      </c>
      <c r="H14" s="34" t="s">
        <v>214</v>
      </c>
    </row>
    <row r="16" customFormat="false" ht="42" hidden="false" customHeight="true" outlineLevel="0" collapsed="false">
      <c r="B16" s="47" t="s">
        <v>215</v>
      </c>
      <c r="C16" s="47"/>
      <c r="D16" s="47"/>
      <c r="E16" s="47"/>
      <c r="F16" s="47"/>
    </row>
  </sheetData>
  <mergeCells count="3">
    <mergeCell ref="B2:C2"/>
    <mergeCell ref="B3:C3"/>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6" min="3" style="1" width="15"/>
  </cols>
  <sheetData>
    <row r="2" customFormat="false" ht="19.5" hidden="false" customHeight="true" outlineLevel="0" collapsed="false">
      <c r="B2" s="2" t="s">
        <v>216</v>
      </c>
      <c r="C2" s="2"/>
    </row>
    <row r="3" customFormat="false" ht="15" hidden="false" customHeight="true" outlineLevel="0" collapsed="false">
      <c r="B3" s="3" t="s">
        <v>217</v>
      </c>
      <c r="C3" s="3"/>
    </row>
    <row r="6" customFormat="false" ht="15" hidden="false" customHeight="true" outlineLevel="0" collapsed="false">
      <c r="B6" s="20" t="s">
        <v>218</v>
      </c>
      <c r="C6" s="20" t="s">
        <v>219</v>
      </c>
      <c r="D6" s="20" t="s">
        <v>220</v>
      </c>
      <c r="E6" s="20" t="s">
        <v>221</v>
      </c>
      <c r="F6" s="20" t="s">
        <v>222</v>
      </c>
    </row>
    <row r="7" customFormat="false" ht="15" hidden="false" customHeight="true" outlineLevel="0" collapsed="false">
      <c r="B7" s="22" t="s">
        <v>223</v>
      </c>
      <c r="C7" s="48" t="n">
        <f aca="false">CriticalVelocity!C8</f>
        <v>10445</v>
      </c>
      <c r="D7" s="48" t="n">
        <f aca="false">CriticalVelocity!D8</f>
        <v>14138</v>
      </c>
      <c r="E7" s="48" t="n">
        <f aca="false">CriticalVelocity!E8</f>
        <v>49202</v>
      </c>
      <c r="F7" s="48" t="n">
        <f aca="false">CriticalVelocity!F8</f>
        <v>102659</v>
      </c>
    </row>
    <row r="8" customFormat="false" ht="15" hidden="false" customHeight="true" outlineLevel="0" collapsed="false">
      <c r="B8" s="22" t="s">
        <v>224</v>
      </c>
      <c r="C8" s="49" t="n">
        <f aca="false">CriticalVelocity!C26</f>
        <v>1.78954082457049</v>
      </c>
      <c r="D8" s="49" t="n">
        <f aca="false">CriticalVelocity!D26</f>
        <v>1.95447433707748</v>
      </c>
      <c r="E8" s="49" t="n">
        <f aca="false">CriticalVelocity!E26</f>
        <v>2.7195834143663</v>
      </c>
      <c r="F8" s="49" t="n">
        <f aca="false">CriticalVelocity!F26</f>
        <v>3.18966870860432</v>
      </c>
    </row>
    <row r="9" customFormat="false" ht="15" hidden="false" customHeight="true" outlineLevel="0" collapsed="false">
      <c r="B9" s="21" t="s">
        <v>195</v>
      </c>
      <c r="C9" s="50" t="n">
        <f aca="false">CriticalVelocity!C29</f>
        <v>3</v>
      </c>
      <c r="D9" s="50" t="n">
        <f aca="false">CriticalVelocity!D29</f>
        <v>3</v>
      </c>
      <c r="E9" s="50" t="n">
        <f aca="false">CriticalVelocity!E29</f>
        <v>3</v>
      </c>
      <c r="F9" s="50" t="n">
        <f aca="false">CriticalVelocity!F29</f>
        <v>3.18966870860432</v>
      </c>
    </row>
    <row r="10" customFormat="false" ht="15" hidden="false" customHeight="true" outlineLevel="0" collapsed="false">
      <c r="B10" s="22" t="s">
        <v>225</v>
      </c>
      <c r="C10" s="51" t="n">
        <f aca="false">CriticalVelocity!C27</f>
        <v>71.0892451011015</v>
      </c>
      <c r="D10" s="51" t="n">
        <f aca="false">CriticalVelocity!D27</f>
        <v>84.5136692402973</v>
      </c>
      <c r="E10" s="51" t="n">
        <f aca="false">CriticalVelocity!E27</f>
        <v>188.861060118193</v>
      </c>
      <c r="F10" s="51" t="n">
        <f aca="false">CriticalVelocity!F27</f>
        <v>324.348835553913</v>
      </c>
    </row>
    <row r="11" customFormat="false" ht="15" hidden="false" customHeight="true" outlineLevel="0" collapsed="false">
      <c r="B11" s="22" t="s">
        <v>226</v>
      </c>
      <c r="C11" s="52" t="n">
        <f aca="false">FanSizing!C10</f>
        <v>82.284707160596</v>
      </c>
      <c r="D11" s="52" t="n">
        <f aca="false">FanSizing!D10</f>
        <v>82.284707160596</v>
      </c>
      <c r="E11" s="52" t="n">
        <f aca="false">FanSizing!E10</f>
        <v>82.284707160596</v>
      </c>
      <c r="F11" s="52" t="n">
        <f aca="false">FanSizing!F10</f>
        <v>93.0181663770293</v>
      </c>
    </row>
    <row r="12" customFormat="false" ht="15" hidden="false" customHeight="true" outlineLevel="0" collapsed="false">
      <c r="B12" s="22" t="s">
        <v>208</v>
      </c>
      <c r="C12" s="53" t="n">
        <f aca="false">FanSizing!C11</f>
        <v>4969.9963125</v>
      </c>
      <c r="D12" s="53" t="n">
        <f aca="false">FanSizing!D11</f>
        <v>4969.9963125</v>
      </c>
      <c r="E12" s="53" t="n">
        <f aca="false">FanSizing!E11</f>
        <v>4969.9963125</v>
      </c>
      <c r="F12" s="53" t="n">
        <f aca="false">FanSizing!F11</f>
        <v>5618.29724917257</v>
      </c>
    </row>
    <row r="13" customFormat="false" ht="15" hidden="false" customHeight="true" outlineLevel="0" collapsed="false">
      <c r="B13" s="21" t="s">
        <v>227</v>
      </c>
      <c r="C13" s="54" t="n">
        <f aca="false">FanSizing!C14</f>
        <v>5</v>
      </c>
      <c r="D13" s="54" t="n">
        <f aca="false">FanSizing!D14</f>
        <v>5</v>
      </c>
      <c r="E13" s="54" t="n">
        <f aca="false">FanSizing!E14</f>
        <v>5</v>
      </c>
      <c r="F13" s="54" t="n">
        <f aca="false">FanSizing!F14</f>
        <v>5</v>
      </c>
    </row>
    <row r="16" customFormat="false" ht="15" hidden="false" customHeight="true" outlineLevel="0" collapsed="false">
      <c r="B16" s="55" t="s">
        <v>228</v>
      </c>
      <c r="C16" s="55"/>
      <c r="D16" s="55"/>
      <c r="E16" s="55"/>
      <c r="F16" s="55"/>
    </row>
  </sheetData>
  <mergeCells count="3">
    <mergeCell ref="B2:C2"/>
    <mergeCell ref="B3:C3"/>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2026-07-01T08:44:50Z</dcterms:created>
  <dc:creator>openpyxl</dc:creator>
  <dc:description/>
  <dc:language>en-US</dc:language>
  <cp:lastModifiedBy/>
  <dcterms:modified xsi:type="dcterms:W3CDTF">2026-07-01T10:20:20Z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