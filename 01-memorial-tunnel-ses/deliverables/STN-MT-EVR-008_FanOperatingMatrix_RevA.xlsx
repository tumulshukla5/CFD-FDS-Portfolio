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an_Layout" sheetId="2" state="visible" r:id="rId4"/>
    <sheet name="Operating_Matrix" sheetId="3" state="visible" r:id="rId5"/>
    <sheet name="Failure_Contingency" sheetId="4" state="visible" r:id="rId6"/>
    <sheet name="Response_Tim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<sst xmlns="http://schemas.openxmlformats.org/spreadsheetml/2006/main" count="108" uniqueCount="93">
  <si>
    <t xml:space="preserve">D8 — Emergency Ventilation Response / Fan Operating Matrix</t>
  </si>
  <si>
    <t xml:space="preserve">Memorial Tunnel TVS | STN-MT-EVR-008 Rev A | Synoptic CFD</t>
  </si>
  <si>
    <t xml:space="preserve">Purpose</t>
  </si>
  <si>
    <t xml:space="preserve">The operational decision table for the tunnel's emergency ventilation. For any fire location, size and equipment availability, it states which jet fans run, in which direction, to hold the design critical velocity and push smoke to one side of the fire.</t>
  </si>
  <si>
    <t xml:space="preserve">How it is derived</t>
  </si>
  <si>
    <t xml:space="preserve">Fan counts come from the D2 sizing (jet fans required per design fire). Direction is set to drive air from the evacuation side toward the incident side. Fan-failure rows (N-1, N-2) add spare fans to preserve the required thrust when units are unavailable.</t>
  </si>
  <si>
    <t xml:space="preserve">Strategy</t>
  </si>
  <si>
    <t xml:space="preserve">Longitudinal (one-directional) ventilation. Occupants evacuate UPSTREAM (against airflow, into fresh air); smoke is driven DOWNSTREAM past the fire. The upstream velocity must meet or exceed the design critical velocity.</t>
  </si>
  <si>
    <t xml:space="preserve">Zones</t>
  </si>
  <si>
    <t xml:space="preserve">The tunnel is split into ventilation control zones by fire location (South third / Middle / North third). The push direction depends on which portal is the shorter, safer egress route for the majority of occupants.</t>
  </si>
  <si>
    <t xml:space="preserve">Sheets</t>
  </si>
  <si>
    <t xml:space="preserve">ReadMe · Fan_Layout · Operating_Matrix · Failure_Contingency · Response_Times</t>
  </si>
  <si>
    <t xml:space="preserve">Colour key</t>
  </si>
  <si>
    <t xml:space="preserve">Blue = input.  Black = formula.  Green = link.  Yellow = key result.  Amber fill = fan ON.  Grey = fan OFF/standby.</t>
  </si>
  <si>
    <t xml:space="preserve">Status</t>
  </si>
  <si>
    <t xml:space="preserve">Fan counts reflect D2 preliminary sizing; to be confirmed against the SES emergency runs (Stage B, reading the D5 restart file).</t>
  </si>
  <si>
    <t xml:space="preserve">Jet Fan Layout</t>
  </si>
  <si>
    <t xml:space="preserve">24 jet fans in 8 groups of 3, ~95 m spacing, over the 854 m bore (per DBR §4). Node 1 = South portal (low), Node 46 = North portal (high).</t>
  </si>
  <si>
    <t xml:space="preserve">Fan group</t>
  </si>
  <si>
    <t xml:space="preserve">Fans</t>
  </si>
  <si>
    <t xml:space="preserve">Approx. chainage (m)</t>
  </si>
  <si>
    <t xml:space="preserve">Zone</t>
  </si>
  <si>
    <t xml:space="preserve">Nearest section</t>
  </si>
  <si>
    <t xml:space="preserve">G1</t>
  </si>
  <si>
    <t xml:space="preserve">JF1–3</t>
  </si>
  <si>
    <t xml:space="preserve">South third</t>
  </si>
  <si>
    <t xml:space="preserve">G2</t>
  </si>
  <si>
    <t xml:space="preserve">JF4–6</t>
  </si>
  <si>
    <t xml:space="preserve">G3</t>
  </si>
  <si>
    <t xml:space="preserve">JF7–9</t>
  </si>
  <si>
    <t xml:space="preserve">G4</t>
  </si>
  <si>
    <t xml:space="preserve">JF10–12</t>
  </si>
  <si>
    <t xml:space="preserve">Middle</t>
  </si>
  <si>
    <t xml:space="preserve">G5</t>
  </si>
  <si>
    <t xml:space="preserve">JF13–15</t>
  </si>
  <si>
    <t xml:space="preserve">G6</t>
  </si>
  <si>
    <t xml:space="preserve">JF16–18</t>
  </si>
  <si>
    <t xml:space="preserve">G7</t>
  </si>
  <si>
    <t xml:space="preserve">JF19–21</t>
  </si>
  <si>
    <t xml:space="preserve">North third</t>
  </si>
  <si>
    <t xml:space="preserve">G8</t>
  </si>
  <si>
    <t xml:space="preserve">JF22–24</t>
  </si>
  <si>
    <t xml:space="preserve">Fan Operating Matrix — Normal Availability (all fans healthy)</t>
  </si>
  <si>
    <t xml:space="preserve">For each fire zone × fire size: number of fans to run, push direction, and which groups activate. Occupants evacuate toward the opposite portal.</t>
  </si>
  <si>
    <t xml:space="preserve">Fire zone</t>
  </si>
  <si>
    <t xml:space="preserve">Push direction</t>
  </si>
  <si>
    <t xml:space="preserve">Occupant egress</t>
  </si>
  <si>
    <t xml:space="preserve">10 MW</t>
  </si>
  <si>
    <t xml:space="preserve">20 MW</t>
  </si>
  <si>
    <t xml:space="preserve">50 MW</t>
  </si>
  <si>
    <t xml:space="preserve">100 MW</t>
  </si>
  <si>
    <t xml:space="preserve">Groups activated</t>
  </si>
  <si>
    <t xml:space="preserve">Push NORTH (toward N portal)</t>
  </si>
  <si>
    <t xml:space="preserve">Evacuate SOUTH</t>
  </si>
  <si>
    <t xml:space="preserve">G1→G8 downstream of fire</t>
  </si>
  <si>
    <t xml:space="preserve">G4→G8 downstream of fire</t>
  </si>
  <si>
    <t xml:space="preserve">Push SOUTH (toward S portal)</t>
  </si>
  <si>
    <t xml:space="preserve">Evacuate NORTH</t>
  </si>
  <si>
    <t xml:space="preserve">G7→G1 downstream of fire</t>
  </si>
  <si>
    <t xml:space="preserve">Design critical velocity to achieve (upstream of fire):</t>
  </si>
  <si>
    <t xml:space="preserve">m/s (from D2)</t>
  </si>
  <si>
    <t xml:space="preserve">Fan-Failure Contingency (N-1 / N-2)</t>
  </si>
  <si>
    <t xml:space="preserve">If jet fans are unavailable (maintenance or fire damage), extra standby fans are commanded ON to preserve total thrust. Each fan contributes ~1/N of required thrust.</t>
  </si>
  <si>
    <t xml:space="preserve">Design fire</t>
  </si>
  <si>
    <t xml:space="preserve">Fans required (N)</t>
  </si>
  <si>
    <t xml:space="preserve">N-1 (one lost)</t>
  </si>
  <si>
    <t xml:space="preserve">N-2 (two lost)</t>
  </si>
  <si>
    <t xml:space="preserve">Spare groups available?</t>
  </si>
  <si>
    <t xml:space="preserve">Action</t>
  </si>
  <si>
    <t xml:space="preserve">Note: 24 jet fans installed (8 groups × 3). Even the 100 MW N-2 case (8 fans) sits well within installed capacity, so full critical velocity is maintainable under two-fan failure for every design fire.</t>
  </si>
  <si>
    <t xml:space="preserve">Ventilation Response Sequence &amp; Timing</t>
  </si>
  <si>
    <t xml:space="preserve">Indicative activation sequence from fire detection. Confirm against client fire/life-safety matrix and fan run-up data.</t>
  </si>
  <si>
    <t xml:space="preserve">Step</t>
  </si>
  <si>
    <t xml:space="preserve">Target time (s)</t>
  </si>
  <si>
    <t xml:space="preserve">Responsible</t>
  </si>
  <si>
    <t xml:space="preserve">1</t>
  </si>
  <si>
    <t xml:space="preserve">Fire detected (linear heat / VESDA) &amp; confirmed</t>
  </si>
  <si>
    <t xml:space="preserve">Detection system</t>
  </si>
  <si>
    <t xml:space="preserve">2</t>
  </si>
  <si>
    <t xml:space="preserve">Fire zone &amp; size identified; ventilation mode selected</t>
  </si>
  <si>
    <t xml:space="preserve">SCADA / operator</t>
  </si>
  <si>
    <t xml:space="preserve">3</t>
  </si>
  <si>
    <t xml:space="preserve">Jet fan groups commanded ON in push direction</t>
  </si>
  <si>
    <t xml:space="preserve">Ventilation control</t>
  </si>
  <si>
    <t xml:space="preserve">4</t>
  </si>
  <si>
    <t xml:space="preserve">Fans reach rated speed; airflow established</t>
  </si>
  <si>
    <t xml:space="preserve">Automatic</t>
  </si>
  <si>
    <t xml:space="preserve">5</t>
  </si>
  <si>
    <t xml:space="preserve">Critical velocity confirmed via anemometry</t>
  </si>
  <si>
    <t xml:space="preserve">SCADA feedback</t>
  </si>
  <si>
    <t xml:space="preserve">6</t>
  </si>
  <si>
    <t xml:space="preserve">If Vc not met: escalate to N-1/N-2 contingency</t>
  </si>
  <si>
    <t xml:space="preserve">Operator</t>
  </si>
</sst>
</file>

<file path=xl/styles.xml><?xml version="1.0" encoding="utf-8"?>
<styleSheet xmlns="http://schemas.openxmlformats.org/spreadsheetml/2006/main">
  <numFmts count="2">
    <numFmt numFmtId="164" formatCode="General"/>
    <numFmt numFmtId="165" formatCode="0.00"/>
  </numFmts>
  <fonts count="16">
    <font>
      <sz val="11"/>
      <color theme="1"/>
      <name val="Calibri"/>
      <family val="2"/>
      <charset val="1"/>
    </font>
    <font>
      <sz val="10"/>
      <name val="Arial"/>
      <family val="0"/>
    </font>
    <font>
      <sz val="10"/>
      <name val="Arial"/>
      <family val="0"/>
    </font>
    <font>
      <sz val="10"/>
      <name val="Arial"/>
      <family val="0"/>
    </font>
    <font>
      <b val="true"/>
      <sz val="16"/>
      <color rgb="FF1F4E5F"/>
      <name val="Arial"/>
      <family val="0"/>
      <charset val="1"/>
    </font>
    <font>
      <i val="true"/>
      <sz val="10"/>
      <color rgb="FF555555"/>
      <name val="Arial"/>
      <family val="0"/>
      <charset val="1"/>
    </font>
    <font>
      <b val="true"/>
      <sz val="10"/>
      <color rgb="FF2E7D8C"/>
      <name val="Arial"/>
      <family val="0"/>
      <charset val="1"/>
    </font>
    <font>
      <sz val="10"/>
      <name val="Arial"/>
      <family val="0"/>
      <charset val="1"/>
    </font>
    <font>
      <b val="true"/>
      <sz val="14"/>
      <color rgb="FF1F4E5F"/>
      <name val="Arial"/>
      <family val="0"/>
      <charset val="1"/>
    </font>
    <font>
      <b val="true"/>
      <sz val="10"/>
      <color rgb="FFFFFFFF"/>
      <name val="Arial"/>
      <family val="0"/>
      <charset val="1"/>
    </font>
    <font>
      <b val="true"/>
      <sz val="10"/>
      <name val="Arial"/>
      <family val="0"/>
      <charset val="1"/>
    </font>
    <font>
      <b val="true"/>
      <sz val="13"/>
      <color rgb="FF1F4E5F"/>
      <name val="Arial"/>
      <family val="0"/>
      <charset val="1"/>
    </font>
    <font>
      <i val="true"/>
      <sz val="9"/>
      <color rgb="FF555555"/>
      <name val="Arial"/>
      <family val="0"/>
      <charset val="1"/>
    </font>
    <font>
      <b val="true"/>
      <sz val="11"/>
      <color rgb="FFFFFFFF"/>
      <name val="Arial"/>
      <family val="0"/>
      <charset val="1"/>
    </font>
    <font>
      <b val="true"/>
      <sz val="10"/>
      <color rgb="FF1F4E5F"/>
      <name val="Arial"/>
      <family val="0"/>
      <charset val="1"/>
    </font>
    <font>
      <sz val="10"/>
      <color rgb="FF0000FF"/>
      <name val="Arial"/>
      <family val="0"/>
      <charset val="1"/>
    </font>
  </fonts>
  <fills count="6">
    <fill>
      <patternFill patternType="none"/>
    </fill>
    <fill>
      <patternFill patternType="gray125"/>
    </fill>
    <fill>
      <patternFill patternType="solid">
        <fgColor rgb="FF1F4E5F"/>
        <bgColor rgb="FF333333"/>
      </patternFill>
    </fill>
    <fill>
      <patternFill patternType="solid">
        <fgColor rgb="FFE8F0F2"/>
        <bgColor rgb="FFFFF6D5"/>
      </patternFill>
    </fill>
    <fill>
      <patternFill patternType="solid">
        <fgColor rgb="FFE8A33D"/>
        <bgColor rgb="FFFF8080"/>
      </patternFill>
    </fill>
    <fill>
      <patternFill patternType="solid">
        <fgColor rgb="FFFFF6D5"/>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true" indent="0" shrinkToFit="false"/>
      <protection locked="true" hidden="false"/>
    </xf>
    <xf numFmtId="164" fontId="10" fillId="0" borderId="1" xfId="0" applyFont="true" applyBorder="true" applyAlignment="true" applyProtection="false">
      <alignment horizontal="left"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13" fillId="4"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5" fontId="14" fillId="5"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0" fillId="3" borderId="1"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general" vertical="center" textRotation="0" wrapText="true" indent="0" shrinkToFit="false"/>
      <protection locked="true" hidden="false"/>
    </xf>
    <xf numFmtId="164" fontId="15" fillId="3"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6D5"/>
      <rgbColor rgb="FFE8F0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E8A33D"/>
      <rgbColor rgb="FFFF6600"/>
      <rgbColor rgb="FF555555"/>
      <rgbColor rgb="FF969696"/>
      <rgbColor rgb="FF1F4E5F"/>
      <rgbColor rgb="FF2E7D8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80"/>
  </cols>
  <sheetData>
    <row r="2" customFormat="false" ht="19.7" hidden="false" customHeight="false" outlineLevel="0" collapsed="false">
      <c r="B2" s="1" t="s">
        <v>0</v>
      </c>
      <c r="C2" s="1"/>
    </row>
    <row r="3" customFormat="false" ht="15" hidden="false" customHeight="false" outlineLevel="0" collapsed="false">
      <c r="B3" s="2" t="s">
        <v>1</v>
      </c>
      <c r="C3" s="2"/>
    </row>
    <row r="5" customFormat="false" ht="55.5" hidden="false" customHeight="true" outlineLevel="0" collapsed="false">
      <c r="B5" s="3" t="s">
        <v>2</v>
      </c>
      <c r="C5" s="4" t="s">
        <v>3</v>
      </c>
    </row>
    <row r="6" customFormat="false" ht="55.5" hidden="false" customHeight="true" outlineLevel="0" collapsed="false">
      <c r="B6" s="3" t="s">
        <v>4</v>
      </c>
      <c r="C6" s="4" t="s">
        <v>5</v>
      </c>
    </row>
    <row r="7" customFormat="false" ht="42" hidden="false" customHeight="true" outlineLevel="0" collapsed="false">
      <c r="B7" s="3" t="s">
        <v>6</v>
      </c>
      <c r="C7" s="4" t="s">
        <v>7</v>
      </c>
    </row>
    <row r="8" customFormat="false" ht="42" hidden="false" customHeight="true" outlineLevel="0" collapsed="false">
      <c r="B8" s="3" t="s">
        <v>8</v>
      </c>
      <c r="C8" s="4" t="s">
        <v>9</v>
      </c>
    </row>
    <row r="9" customFormat="false" ht="27.75" hidden="false" customHeight="true" outlineLevel="0" collapsed="false">
      <c r="B9" s="3" t="s">
        <v>10</v>
      </c>
      <c r="C9" s="4" t="s">
        <v>11</v>
      </c>
    </row>
    <row r="10" customFormat="false" ht="27.75" hidden="false" customHeight="true" outlineLevel="0" collapsed="false">
      <c r="B10" s="3" t="s">
        <v>12</v>
      </c>
      <c r="C10" s="4" t="s">
        <v>13</v>
      </c>
    </row>
    <row r="11" customFormat="false" ht="27.75" hidden="false" customHeight="true" outlineLevel="0" collapsed="false">
      <c r="B11" s="3" t="s">
        <v>14</v>
      </c>
      <c r="C11" s="4" t="s">
        <v>15</v>
      </c>
    </row>
  </sheetData>
  <mergeCells count="2">
    <mergeCell ref="B2:C2"/>
    <mergeCell ref="B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20"/>
    <col collapsed="false" customWidth="true" hidden="false" outlineLevel="0" max="4" min="4" style="0" width="14"/>
    <col collapsed="false" customWidth="true" hidden="false" outlineLevel="0" max="5" min="5" style="0" width="16"/>
  </cols>
  <sheetData>
    <row r="1" customFormat="false" ht="17.35" hidden="false" customHeight="false" outlineLevel="0" collapsed="false">
      <c r="A1" s="5" t="s">
        <v>16</v>
      </c>
    </row>
    <row r="2" customFormat="false" ht="15" hidden="false" customHeight="false" outlineLevel="0" collapsed="false">
      <c r="A2" s="6" t="s">
        <v>17</v>
      </c>
    </row>
    <row r="4" customFormat="false" ht="15" hidden="false" customHeight="false" outlineLevel="0" collapsed="false">
      <c r="A4" s="7" t="s">
        <v>18</v>
      </c>
      <c r="B4" s="7" t="s">
        <v>19</v>
      </c>
      <c r="C4" s="7" t="s">
        <v>20</v>
      </c>
      <c r="D4" s="7" t="s">
        <v>21</v>
      </c>
      <c r="E4" s="7" t="s">
        <v>22</v>
      </c>
    </row>
    <row r="5" customFormat="false" ht="15" hidden="false" customHeight="false" outlineLevel="0" collapsed="false">
      <c r="A5" s="8" t="s">
        <v>23</v>
      </c>
      <c r="B5" s="9" t="s">
        <v>24</v>
      </c>
      <c r="C5" s="9" t="n">
        <v>95</v>
      </c>
      <c r="D5" s="10" t="s">
        <v>25</v>
      </c>
      <c r="E5" s="9" t="n">
        <v>5</v>
      </c>
    </row>
    <row r="6" customFormat="false" ht="15" hidden="false" customHeight="false" outlineLevel="0" collapsed="false">
      <c r="A6" s="8" t="s">
        <v>26</v>
      </c>
      <c r="B6" s="9" t="s">
        <v>27</v>
      </c>
      <c r="C6" s="9" t="n">
        <v>190</v>
      </c>
      <c r="D6" s="10" t="s">
        <v>25</v>
      </c>
      <c r="E6" s="9" t="n">
        <v>10</v>
      </c>
    </row>
    <row r="7" customFormat="false" ht="15" hidden="false" customHeight="false" outlineLevel="0" collapsed="false">
      <c r="A7" s="8" t="s">
        <v>28</v>
      </c>
      <c r="B7" s="9" t="s">
        <v>29</v>
      </c>
      <c r="C7" s="9" t="n">
        <v>285</v>
      </c>
      <c r="D7" s="10" t="s">
        <v>25</v>
      </c>
      <c r="E7" s="9" t="n">
        <v>15</v>
      </c>
    </row>
    <row r="8" customFormat="false" ht="15" hidden="false" customHeight="false" outlineLevel="0" collapsed="false">
      <c r="A8" s="8" t="s">
        <v>30</v>
      </c>
      <c r="B8" s="9" t="s">
        <v>31</v>
      </c>
      <c r="C8" s="9" t="n">
        <v>380</v>
      </c>
      <c r="D8" s="10" t="s">
        <v>32</v>
      </c>
      <c r="E8" s="9" t="n">
        <v>20</v>
      </c>
    </row>
    <row r="9" customFormat="false" ht="15" hidden="false" customHeight="false" outlineLevel="0" collapsed="false">
      <c r="A9" s="8" t="s">
        <v>33</v>
      </c>
      <c r="B9" s="9" t="s">
        <v>34</v>
      </c>
      <c r="C9" s="9" t="n">
        <v>475</v>
      </c>
      <c r="D9" s="10" t="s">
        <v>32</v>
      </c>
      <c r="E9" s="9" t="n">
        <v>25</v>
      </c>
    </row>
    <row r="10" customFormat="false" ht="15" hidden="false" customHeight="false" outlineLevel="0" collapsed="false">
      <c r="A10" s="8" t="s">
        <v>35</v>
      </c>
      <c r="B10" s="9" t="s">
        <v>36</v>
      </c>
      <c r="C10" s="9" t="n">
        <v>570</v>
      </c>
      <c r="D10" s="10" t="s">
        <v>32</v>
      </c>
      <c r="E10" s="9" t="n">
        <v>30</v>
      </c>
    </row>
    <row r="11" customFormat="false" ht="15" hidden="false" customHeight="false" outlineLevel="0" collapsed="false">
      <c r="A11" s="8" t="s">
        <v>37</v>
      </c>
      <c r="B11" s="9" t="s">
        <v>38</v>
      </c>
      <c r="C11" s="9" t="n">
        <v>665</v>
      </c>
      <c r="D11" s="10" t="s">
        <v>39</v>
      </c>
      <c r="E11" s="9" t="n">
        <v>37</v>
      </c>
    </row>
    <row r="12" customFormat="false" ht="15" hidden="false" customHeight="false" outlineLevel="0" collapsed="false">
      <c r="A12" s="8" t="s">
        <v>40</v>
      </c>
      <c r="B12" s="9" t="s">
        <v>41</v>
      </c>
      <c r="C12" s="9" t="n">
        <v>760</v>
      </c>
      <c r="D12" s="10" t="s">
        <v>39</v>
      </c>
      <c r="E12" s="9" t="n">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16"/>
    <col collapsed="false" customWidth="true" hidden="false" outlineLevel="0" max="6" min="4" style="0" width="8"/>
    <col collapsed="false" customWidth="true" hidden="false" outlineLevel="0" max="7" min="7" style="0" width="9"/>
    <col collapsed="false" customWidth="true" hidden="false" outlineLevel="0" max="8" min="8" style="0" width="26"/>
  </cols>
  <sheetData>
    <row r="1" customFormat="false" ht="16.15" hidden="false" customHeight="false" outlineLevel="0" collapsed="false">
      <c r="A1" s="11" t="s">
        <v>42</v>
      </c>
      <c r="B1" s="11"/>
      <c r="C1" s="11"/>
      <c r="D1" s="11"/>
      <c r="E1" s="11"/>
      <c r="F1" s="11"/>
      <c r="G1" s="11"/>
      <c r="H1" s="11"/>
      <c r="I1" s="11"/>
      <c r="J1" s="11"/>
      <c r="K1" s="11"/>
      <c r="L1" s="11"/>
    </row>
    <row r="2" customFormat="false" ht="15" hidden="false" customHeight="false" outlineLevel="0" collapsed="false">
      <c r="A2" s="12" t="s">
        <v>43</v>
      </c>
    </row>
    <row r="4" customFormat="false" ht="15" hidden="false" customHeight="false" outlineLevel="0" collapsed="false">
      <c r="A4" s="7" t="s">
        <v>44</v>
      </c>
      <c r="B4" s="7" t="s">
        <v>45</v>
      </c>
      <c r="C4" s="7" t="s">
        <v>46</v>
      </c>
      <c r="D4" s="7" t="s">
        <v>47</v>
      </c>
      <c r="E4" s="7" t="s">
        <v>48</v>
      </c>
      <c r="F4" s="7" t="s">
        <v>49</v>
      </c>
      <c r="G4" s="7" t="s">
        <v>50</v>
      </c>
      <c r="H4" s="7" t="s">
        <v>51</v>
      </c>
    </row>
    <row r="5" customFormat="false" ht="33.75" hidden="false" customHeight="true" outlineLevel="0" collapsed="false">
      <c r="A5" s="13" t="s">
        <v>25</v>
      </c>
      <c r="B5" s="14" t="s">
        <v>52</v>
      </c>
      <c r="C5" s="14" t="s">
        <v>53</v>
      </c>
      <c r="D5" s="15" t="n">
        <v>5</v>
      </c>
      <c r="E5" s="15" t="n">
        <v>5</v>
      </c>
      <c r="F5" s="15" t="n">
        <v>5</v>
      </c>
      <c r="G5" s="15" t="n">
        <v>6</v>
      </c>
      <c r="H5" s="14" t="s">
        <v>54</v>
      </c>
    </row>
    <row r="6" customFormat="false" ht="33.75" hidden="false" customHeight="true" outlineLevel="0" collapsed="false">
      <c r="A6" s="13" t="s">
        <v>32</v>
      </c>
      <c r="B6" s="14" t="s">
        <v>52</v>
      </c>
      <c r="C6" s="14" t="s">
        <v>53</v>
      </c>
      <c r="D6" s="15" t="n">
        <v>5</v>
      </c>
      <c r="E6" s="15" t="n">
        <v>5</v>
      </c>
      <c r="F6" s="15" t="n">
        <v>5</v>
      </c>
      <c r="G6" s="15" t="n">
        <v>6</v>
      </c>
      <c r="H6" s="14" t="s">
        <v>55</v>
      </c>
    </row>
    <row r="7" customFormat="false" ht="33.75" hidden="false" customHeight="true" outlineLevel="0" collapsed="false">
      <c r="A7" s="13" t="s">
        <v>39</v>
      </c>
      <c r="B7" s="14" t="s">
        <v>56</v>
      </c>
      <c r="C7" s="14" t="s">
        <v>57</v>
      </c>
      <c r="D7" s="15" t="n">
        <v>5</v>
      </c>
      <c r="E7" s="15" t="n">
        <v>5</v>
      </c>
      <c r="F7" s="15" t="n">
        <v>5</v>
      </c>
      <c r="G7" s="15" t="n">
        <v>6</v>
      </c>
      <c r="H7" s="14" t="s">
        <v>58</v>
      </c>
    </row>
    <row r="9" customFormat="false" ht="15" hidden="false" customHeight="false" outlineLevel="0" collapsed="false">
      <c r="A9" s="16" t="s">
        <v>59</v>
      </c>
      <c r="B9" s="16"/>
      <c r="C9" s="16"/>
      <c r="D9" s="17" t="n">
        <v>3</v>
      </c>
      <c r="E9" s="17" t="n">
        <v>3</v>
      </c>
      <c r="F9" s="17" t="n">
        <v>3</v>
      </c>
      <c r="G9" s="17" t="n">
        <v>3.19</v>
      </c>
      <c r="H9" s="12" t="s">
        <v>60</v>
      </c>
    </row>
  </sheetData>
  <mergeCells count="2">
    <mergeCell ref="A1:L1"/>
    <mergeCell ref="A9:C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4" min="3" style="0" width="14"/>
    <col collapsed="false" customWidth="true" hidden="false" outlineLevel="0" max="5" min="5" style="0" width="20"/>
    <col collapsed="false" customWidth="true" hidden="false" outlineLevel="0" max="6" min="6" style="0" width="34"/>
  </cols>
  <sheetData>
    <row r="1" customFormat="false" ht="16.15" hidden="false" customHeight="false" outlineLevel="0" collapsed="false">
      <c r="A1" s="11" t="s">
        <v>61</v>
      </c>
      <c r="B1" s="11"/>
      <c r="C1" s="11"/>
      <c r="D1" s="11"/>
      <c r="E1" s="11"/>
      <c r="F1" s="11"/>
    </row>
    <row r="2" customFormat="false" ht="15" hidden="false" customHeight="false" outlineLevel="0" collapsed="false">
      <c r="A2" s="12" t="s">
        <v>62</v>
      </c>
    </row>
    <row r="4" customFormat="false" ht="23.85" hidden="false" customHeight="false" outlineLevel="0" collapsed="false">
      <c r="A4" s="7" t="s">
        <v>63</v>
      </c>
      <c r="B4" s="7" t="s">
        <v>64</v>
      </c>
      <c r="C4" s="7" t="s">
        <v>65</v>
      </c>
      <c r="D4" s="7" t="s">
        <v>66</v>
      </c>
      <c r="E4" s="7" t="s">
        <v>67</v>
      </c>
      <c r="F4" s="7" t="s">
        <v>68</v>
      </c>
    </row>
    <row r="5" customFormat="false" ht="15" hidden="false" customHeight="false" outlineLevel="0" collapsed="false">
      <c r="A5" s="18" t="s">
        <v>47</v>
      </c>
      <c r="B5" s="19" t="n">
        <v>5</v>
      </c>
      <c r="C5" s="9" t="n">
        <f aca="false">B5+1</f>
        <v>6</v>
      </c>
      <c r="D5" s="9" t="n">
        <f aca="false">B5+2</f>
        <v>7</v>
      </c>
      <c r="E5" s="9" t="str">
        <f aca="false">IF(D5&lt;=24,"YES","NO")</f>
        <v>YES</v>
      </c>
      <c r="F5" s="14" t="str">
        <f aca="false">IF(D5&lt;=24,"Activate next standby group","Reduce target to N-2 capacity; alert IC")</f>
        <v>Activate next standby group</v>
      </c>
    </row>
    <row r="6" customFormat="false" ht="15" hidden="false" customHeight="false" outlineLevel="0" collapsed="false">
      <c r="A6" s="18" t="s">
        <v>48</v>
      </c>
      <c r="B6" s="19" t="n">
        <v>5</v>
      </c>
      <c r="C6" s="9" t="n">
        <f aca="false">B6+1</f>
        <v>6</v>
      </c>
      <c r="D6" s="9" t="n">
        <f aca="false">B6+2</f>
        <v>7</v>
      </c>
      <c r="E6" s="9" t="str">
        <f aca="false">IF(D6&lt;=24,"YES","NO")</f>
        <v>YES</v>
      </c>
      <c r="F6" s="14" t="str">
        <f aca="false">IF(D6&lt;=24,"Activate next standby group","Reduce target to N-2 capacity; alert IC")</f>
        <v>Activate next standby group</v>
      </c>
    </row>
    <row r="7" customFormat="false" ht="15" hidden="false" customHeight="false" outlineLevel="0" collapsed="false">
      <c r="A7" s="18" t="s">
        <v>49</v>
      </c>
      <c r="B7" s="19" t="n">
        <v>5</v>
      </c>
      <c r="C7" s="9" t="n">
        <f aca="false">B7+1</f>
        <v>6</v>
      </c>
      <c r="D7" s="9" t="n">
        <f aca="false">B7+2</f>
        <v>7</v>
      </c>
      <c r="E7" s="9" t="str">
        <f aca="false">IF(D7&lt;=24,"YES","NO")</f>
        <v>YES</v>
      </c>
      <c r="F7" s="14" t="str">
        <f aca="false">IF(D7&lt;=24,"Activate next standby group","Reduce target to N-2 capacity; alert IC")</f>
        <v>Activate next standby group</v>
      </c>
    </row>
    <row r="8" customFormat="false" ht="15" hidden="false" customHeight="false" outlineLevel="0" collapsed="false">
      <c r="A8" s="18" t="s">
        <v>50</v>
      </c>
      <c r="B8" s="19" t="n">
        <v>6</v>
      </c>
      <c r="C8" s="9" t="n">
        <f aca="false">B8+1</f>
        <v>7</v>
      </c>
      <c r="D8" s="9" t="n">
        <f aca="false">B8+2</f>
        <v>8</v>
      </c>
      <c r="E8" s="9" t="str">
        <f aca="false">IF(D8&lt;=24,"YES","NO")</f>
        <v>YES</v>
      </c>
      <c r="F8" s="14" t="str">
        <f aca="false">IF(D8&lt;=24,"Activate next standby group","Reduce target to N-2 capacity; alert IC")</f>
        <v>Activate next standby group</v>
      </c>
    </row>
    <row r="10" customFormat="false" ht="30" hidden="false" customHeight="true" outlineLevel="0" collapsed="false">
      <c r="A10" s="20" t="s">
        <v>69</v>
      </c>
      <c r="B10" s="20"/>
      <c r="C10" s="20"/>
      <c r="D10" s="20"/>
      <c r="E10" s="20"/>
      <c r="F10" s="20"/>
    </row>
  </sheetData>
  <mergeCells count="2">
    <mergeCell ref="A1:F1"/>
    <mergeCell ref="A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16"/>
    <col collapsed="false" customWidth="true" hidden="false" outlineLevel="0" max="4" min="4" style="0" width="22"/>
  </cols>
  <sheetData>
    <row r="1" customFormat="false" ht="16.15" hidden="false" customHeight="false" outlineLevel="0" collapsed="false">
      <c r="A1" s="11" t="s">
        <v>70</v>
      </c>
      <c r="B1" s="11"/>
      <c r="C1" s="11"/>
      <c r="D1" s="11"/>
    </row>
    <row r="2" customFormat="false" ht="15" hidden="false" customHeight="false" outlineLevel="0" collapsed="false">
      <c r="A2" s="12" t="s">
        <v>71</v>
      </c>
    </row>
    <row r="4" customFormat="false" ht="15" hidden="false" customHeight="false" outlineLevel="0" collapsed="false">
      <c r="A4" s="7" t="s">
        <v>72</v>
      </c>
      <c r="B4" s="7" t="s">
        <v>68</v>
      </c>
      <c r="C4" s="7" t="s">
        <v>73</v>
      </c>
      <c r="D4" s="7" t="s">
        <v>74</v>
      </c>
    </row>
    <row r="5" customFormat="false" ht="15" hidden="false" customHeight="false" outlineLevel="0" collapsed="false">
      <c r="A5" s="21" t="s">
        <v>75</v>
      </c>
      <c r="B5" s="14" t="s">
        <v>76</v>
      </c>
      <c r="C5" s="19" t="n">
        <v>0</v>
      </c>
      <c r="D5" s="14" t="s">
        <v>77</v>
      </c>
    </row>
    <row r="6" customFormat="false" ht="15" hidden="false" customHeight="false" outlineLevel="0" collapsed="false">
      <c r="A6" s="22" t="s">
        <v>78</v>
      </c>
      <c r="B6" s="23" t="s">
        <v>79</v>
      </c>
      <c r="C6" s="24" t="n">
        <v>30</v>
      </c>
      <c r="D6" s="23" t="s">
        <v>80</v>
      </c>
    </row>
    <row r="7" customFormat="false" ht="15" hidden="false" customHeight="false" outlineLevel="0" collapsed="false">
      <c r="A7" s="21" t="s">
        <v>81</v>
      </c>
      <c r="B7" s="14" t="s">
        <v>82</v>
      </c>
      <c r="C7" s="19" t="n">
        <v>45</v>
      </c>
      <c r="D7" s="14" t="s">
        <v>83</v>
      </c>
    </row>
    <row r="8" customFormat="false" ht="15" hidden="false" customHeight="false" outlineLevel="0" collapsed="false">
      <c r="A8" s="22" t="s">
        <v>84</v>
      </c>
      <c r="B8" s="23" t="s">
        <v>85</v>
      </c>
      <c r="C8" s="24" t="n">
        <v>120</v>
      </c>
      <c r="D8" s="23" t="s">
        <v>86</v>
      </c>
    </row>
    <row r="9" customFormat="false" ht="15" hidden="false" customHeight="false" outlineLevel="0" collapsed="false">
      <c r="A9" s="21" t="s">
        <v>87</v>
      </c>
      <c r="B9" s="14" t="s">
        <v>88</v>
      </c>
      <c r="C9" s="19" t="n">
        <v>180</v>
      </c>
      <c r="D9" s="14" t="s">
        <v>89</v>
      </c>
    </row>
    <row r="10" customFormat="false" ht="15" hidden="false" customHeight="false" outlineLevel="0" collapsed="false">
      <c r="A10" s="22" t="s">
        <v>90</v>
      </c>
      <c r="B10" s="23" t="s">
        <v>91</v>
      </c>
      <c r="C10" s="24" t="n">
        <v>240</v>
      </c>
      <c r="D10" s="23" t="s">
        <v>92</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2026-07-01T13:17:41Z</dcterms:created>
  <dc:creator>openpyxl</dc:creator>
  <dc:description/>
  <dc:language>en-US</dc:language>
  <cp:lastModifiedBy/>
  <dcterms:modified xsi:type="dcterms:W3CDTF">2026-07-01T13:17:41Z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