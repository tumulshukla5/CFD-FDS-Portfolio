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ES_Data" sheetId="2" state="visible" r:id="rId4"/>
    <sheet name="Measured_Data" sheetId="3" state="visible" r:id="rId5"/>
    <sheet name="Comparison" sheetId="4" state="visible" r:id="rId6"/>
    <sheet name="Dashboard" sheetId="5" state="visible" r:id="rId7"/>
    <sheet name="VBA_Instruc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<sst xmlns="http://schemas.openxmlformats.org/spreadsheetml/2006/main" count="70" uniqueCount="60">
  <si>
    <t xml:space="preserve">D6/D7 — SES Validation &amp; Post-Processing Workbook</t>
  </si>
  <si>
    <t xml:space="preserve">Memorial Tunnel TVS | STN-MT-PP-007 Rev A | Synoptic CFD</t>
  </si>
  <si>
    <t xml:space="preserve">What this is</t>
  </si>
  <si>
    <t xml:space="preserve">A repeatable pipeline that compares SES-predicted airflow/velocity/temperature against measured Memorial Tunnel data, and reports the error used as the validation margin in the Final Report (D9).</t>
  </si>
  <si>
    <t xml:space="preserve">Workflow</t>
  </si>
  <si>
    <t xml:space="preserve">1) Run SES locally -&gt; .PRN.  2) parse_prn.py converts .PRN -&gt; *_parsed.csv (SI units).  3) Drop parsed CSVs next to this workbook.  4) Refresh (VBA button or manual paste) -&gt; Comparison + Dashboard update.</t>
  </si>
  <si>
    <t xml:space="preserve">Sheets</t>
  </si>
  <si>
    <t xml:space="preserve">ReadMe · SES_Data (parsed) · Measured_Data · Comparison · Dashboard · VBA_Instructions</t>
  </si>
  <si>
    <t xml:space="preserve">Colour key</t>
  </si>
  <si>
    <t xml:space="preserve">Blue = input/paste area.  Black = formula.  Green = cross-sheet link.  Yellow = key result.</t>
  </si>
  <si>
    <t xml:space="preserve">Units</t>
  </si>
  <si>
    <t xml:space="preserve">All SI. SES .PRN is Imperial; parse_prn.py converts (CFM-&gt;m3/s, FPM-&gt;m/s, F-&gt;C).</t>
  </si>
  <si>
    <t xml:space="preserve">Data shown</t>
  </si>
  <si>
    <t xml:space="preserve">The reference 100 MW run (Test 615B, MT-T615B-R3-3) is preloaded as a worked example. Replace with your own runs via the refresh path.</t>
  </si>
  <si>
    <t xml:space="preserve">Section</t>
  </si>
  <si>
    <t xml:space="preserve">Distance (m)</t>
  </si>
  <si>
    <t xml:space="preserve">Flow (m3/s)</t>
  </si>
  <si>
    <t xml:space="preserve">Velocity (m/s)</t>
  </si>
  <si>
    <t xml:space="preserve">Temp (C)</t>
  </si>
  <si>
    <t xml:space="preserve">Measured quasi-steady airflow (mean of last 25% of record)</t>
  </si>
  <si>
    <t xml:space="preserve">Loop</t>
  </si>
  <si>
    <t xml:space="preserve">Airflow (m3/s)</t>
  </si>
  <si>
    <t xml:space="preserve">Loop 214</t>
  </si>
  <si>
    <t xml:space="preserve">Loop 209</t>
  </si>
  <si>
    <t xml:space="preserve">Loop 208</t>
  </si>
  <si>
    <t xml:space="preserve">Loop 207</t>
  </si>
  <si>
    <t xml:space="preserve">Loop 307</t>
  </si>
  <si>
    <t xml:space="preserve">Loop 305</t>
  </si>
  <si>
    <t xml:space="preserve">Loop 304</t>
  </si>
  <si>
    <t xml:space="preserve">Loop 302</t>
  </si>
  <si>
    <t xml:space="preserve">Loop 301</t>
  </si>
  <si>
    <t xml:space="preserve">Loop 202</t>
  </si>
  <si>
    <t xml:space="preserve">SES vs Measured — Quasi-Steady Airflow Validation</t>
  </si>
  <si>
    <t xml:space="preserve">Each measured loop (quasi-steady mean, last 25% of record) vs the SES bulk airflow at quasi-steady. Single-bore tunnel: airflow is ~uniform along the length.</t>
  </si>
  <si>
    <t xml:space="preserve">Loop / location</t>
  </si>
  <si>
    <t xml:space="preserve">Measured (m3/s)</t>
  </si>
  <si>
    <t xml:space="preserve">SES (m3/s)</t>
  </si>
  <si>
    <t xml:space="preserve">Error (m3/s)</t>
  </si>
  <si>
    <t xml:space="preserve">Error (%)</t>
  </si>
  <si>
    <t xml:space="preserve">Within +/-15%?</t>
  </si>
  <si>
    <t xml:space="preserve">Loop mean (measured)</t>
  </si>
  <si>
    <t xml:space="preserve">Overall validation error (SES vs measured mean)</t>
  </si>
  <si>
    <t xml:space="preserve">Mean absolute % error (per loop)</t>
  </si>
  <si>
    <t xml:space="preserve">Interpretation: SES under-predicts bulk airflow (typical for 1-D longitudinal fire modelling). The magnitude of this error is carried as a conservative safety margin on ventilation capacity in the Final Report (D9).</t>
  </si>
  <si>
    <t xml:space="preserve">Validation Dashboard — 100 MW (Test 615B)</t>
  </si>
  <si>
    <t xml:space="preserve">Longitudinal velocity &amp; temperature profiles from SES; airflow comparison vs measured.</t>
  </si>
  <si>
    <t xml:space="preserve">Design critical velocity (100 MW) = 3.19 m/s (from D2). Sections upstream of the fire should meet or exceed this.</t>
  </si>
  <si>
    <t xml:space="preserve">VBA Automation — Import &amp; Use</t>
  </si>
  <si>
    <t xml:space="preserve">This workbook ships with two VBA modules (delivered as .bas files):</t>
  </si>
  <si>
    <t xml:space="preserve">   • Module_RefreshValidation.bas — imports parsed SES CSV + measured CSV, refreshes Comparison &amp; Dashboard.</t>
  </si>
  <si>
    <t xml:space="preserve">   • Module_BatchParse.bas — shells parse_prn.py over a folder of .PRN files, then loads results.</t>
  </si>
  <si>
    <t xml:space="preserve">To install (one time):</t>
  </si>
  <si>
    <t xml:space="preserve">   1. Save this workbook as .xlsm (File &gt; Save As &gt; Excel Macro-Enabled Workbook).</t>
  </si>
  <si>
    <t xml:space="preserve">   2. Press Alt+F11 to open the VBA editor.</t>
  </si>
  <si>
    <t xml:space="preserve">   3. File &gt; Import File… and select each .bas module.</t>
  </si>
  <si>
    <t xml:space="preserve">   4. Close the editor. The macros appear under Developer &gt; Macros.</t>
  </si>
  <si>
    <t xml:space="preserve">To use:</t>
  </si>
  <si>
    <t xml:space="preserve">   • RefreshValidation: prompts for the parsed SES CSV and the measured CSV, then repopulates SES_Data / Measured_Data and recalculates.</t>
  </si>
  <si>
    <t xml:space="preserve">   • BatchParse: prompts for a folder; runs the Python parser on every .PRN and imports the newest result.</t>
  </si>
  <si>
    <t xml:space="preserve">Note: BatchParse requires Python on PATH and parse_prn.py in the same folder. If macros are blocked by policy, use the manual path: paste the *_parsed.csv columns into SES_Data (cols C–E) and the workbook recalculates automatically.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</si>
</sst>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2E7D8C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2E7D8C"/>
      <name val="Arial"/>
      <family val="0"/>
      <charset val="1"/>
    </font>
    <font>
      <b val="true"/>
      <sz val="13"/>
      <color rgb="FF1F4E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5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1F4E5F"/>
      <name val="Arial"/>
      <family val="0"/>
      <charset val="1"/>
    </font>
    <font>
      <b val="true"/>
      <sz val="14"/>
      <color rgb="FF1F4E5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555555"/>
      </patternFill>
    </fill>
    <fill>
      <patternFill patternType="solid">
        <fgColor rgb="FFE8F0F2"/>
        <bgColor rgb="FFFFF6D5"/>
      </patternFill>
    </fill>
    <fill>
      <patternFill patternType="solid">
        <fgColor rgb="FFFFF6D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6D5"/>
      <rgbColor rgb="FFE8F0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1F4E5F"/>
      <rgbColor rgb="FF2E7D8C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SES Air Velocity vs Distance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SES_Data!D1</c:f>
              <c:strCache>
                <c:ptCount val="1"/>
                <c:pt idx="0">
                  <c:v>Velocity (m/s)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SES_Data!$B$2:$B$46</c:f>
              <c:numCache>
                <c:formatCode>General</c:formatCode>
                <c:ptCount val="45"/>
                <c:pt idx="0">
                  <c:v>10.7</c:v>
                </c:pt>
                <c:pt idx="1">
                  <c:v>32</c:v>
                </c:pt>
                <c:pt idx="2">
                  <c:v>53.4</c:v>
                </c:pt>
                <c:pt idx="3">
                  <c:v>79.4</c:v>
                </c:pt>
                <c:pt idx="4">
                  <c:v>98.1</c:v>
                </c:pt>
                <c:pt idx="5">
                  <c:v>112.2</c:v>
                </c:pt>
                <c:pt idx="6">
                  <c:v>133.5</c:v>
                </c:pt>
                <c:pt idx="7">
                  <c:v>154.9</c:v>
                </c:pt>
                <c:pt idx="8">
                  <c:v>177.6</c:v>
                </c:pt>
                <c:pt idx="9">
                  <c:v>193</c:v>
                </c:pt>
                <c:pt idx="10">
                  <c:v>207</c:v>
                </c:pt>
                <c:pt idx="11">
                  <c:v>228.3</c:v>
                </c:pt>
                <c:pt idx="12">
                  <c:v>249.7</c:v>
                </c:pt>
                <c:pt idx="13">
                  <c:v>272.5</c:v>
                </c:pt>
                <c:pt idx="14">
                  <c:v>288.1</c:v>
                </c:pt>
                <c:pt idx="15">
                  <c:v>302.1</c:v>
                </c:pt>
                <c:pt idx="16">
                  <c:v>323.4</c:v>
                </c:pt>
                <c:pt idx="17">
                  <c:v>344.8</c:v>
                </c:pt>
                <c:pt idx="18">
                  <c:v>367.5</c:v>
                </c:pt>
                <c:pt idx="19">
                  <c:v>382.9</c:v>
                </c:pt>
                <c:pt idx="20">
                  <c:v>393.5</c:v>
                </c:pt>
                <c:pt idx="21">
                  <c:v>411.5</c:v>
                </c:pt>
                <c:pt idx="22">
                  <c:v>432.8</c:v>
                </c:pt>
                <c:pt idx="23">
                  <c:v>454.2</c:v>
                </c:pt>
                <c:pt idx="24">
                  <c:v>469.6</c:v>
                </c:pt>
                <c:pt idx="25">
                  <c:v>477.7</c:v>
                </c:pt>
                <c:pt idx="26">
                  <c:v>491.7</c:v>
                </c:pt>
                <c:pt idx="27">
                  <c:v>513</c:v>
                </c:pt>
                <c:pt idx="28">
                  <c:v>534.4</c:v>
                </c:pt>
                <c:pt idx="29">
                  <c:v>555.4</c:v>
                </c:pt>
                <c:pt idx="30">
                  <c:v>569.1</c:v>
                </c:pt>
                <c:pt idx="31">
                  <c:v>583.1</c:v>
                </c:pt>
                <c:pt idx="32">
                  <c:v>604.4</c:v>
                </c:pt>
                <c:pt idx="33">
                  <c:v>625.8</c:v>
                </c:pt>
                <c:pt idx="34">
                  <c:v>647.1</c:v>
                </c:pt>
                <c:pt idx="35">
                  <c:v>662.6</c:v>
                </c:pt>
                <c:pt idx="36">
                  <c:v>670.9</c:v>
                </c:pt>
                <c:pt idx="37">
                  <c:v>684.9</c:v>
                </c:pt>
                <c:pt idx="38">
                  <c:v>706.2</c:v>
                </c:pt>
                <c:pt idx="39">
                  <c:v>727.6</c:v>
                </c:pt>
                <c:pt idx="40">
                  <c:v>748.6</c:v>
                </c:pt>
                <c:pt idx="41">
                  <c:v>762.4</c:v>
                </c:pt>
                <c:pt idx="42">
                  <c:v>776.4</c:v>
                </c:pt>
                <c:pt idx="43">
                  <c:v>797.7</c:v>
                </c:pt>
                <c:pt idx="44">
                  <c:v>820.4</c:v>
                </c:pt>
              </c:numCache>
            </c:numRef>
          </c:xVal>
          <c:yVal>
            <c:numRef>
              <c:f>SES_Data!$D$2:$D$46</c:f>
              <c:numCache>
                <c:formatCode>0.00</c:formatCode>
                <c:ptCount val="45"/>
                <c:pt idx="0">
                  <c:v>4.7772</c:v>
                </c:pt>
                <c:pt idx="1">
                  <c:v>2.955</c:v>
                </c:pt>
                <c:pt idx="2">
                  <c:v>2.955</c:v>
                </c:pt>
                <c:pt idx="3">
                  <c:v>2.955</c:v>
                </c:pt>
                <c:pt idx="4">
                  <c:v>2.955</c:v>
                </c:pt>
                <c:pt idx="5">
                  <c:v>2.955</c:v>
                </c:pt>
                <c:pt idx="6">
                  <c:v>2.955</c:v>
                </c:pt>
                <c:pt idx="7">
                  <c:v>2.955</c:v>
                </c:pt>
                <c:pt idx="8">
                  <c:v>2.955</c:v>
                </c:pt>
                <c:pt idx="9">
                  <c:v>2.955</c:v>
                </c:pt>
                <c:pt idx="10">
                  <c:v>2.955</c:v>
                </c:pt>
                <c:pt idx="11">
                  <c:v>2.955</c:v>
                </c:pt>
                <c:pt idx="12">
                  <c:v>2.955</c:v>
                </c:pt>
                <c:pt idx="13">
                  <c:v>2.955</c:v>
                </c:pt>
                <c:pt idx="14">
                  <c:v>2.955</c:v>
                </c:pt>
                <c:pt idx="15">
                  <c:v>2.955</c:v>
                </c:pt>
                <c:pt idx="16">
                  <c:v>2.955</c:v>
                </c:pt>
                <c:pt idx="17">
                  <c:v>2.955</c:v>
                </c:pt>
                <c:pt idx="18">
                  <c:v>2.955</c:v>
                </c:pt>
                <c:pt idx="19">
                  <c:v>2.955</c:v>
                </c:pt>
                <c:pt idx="20">
                  <c:v>2.955</c:v>
                </c:pt>
                <c:pt idx="21">
                  <c:v>2.955</c:v>
                </c:pt>
                <c:pt idx="22">
                  <c:v>2.955</c:v>
                </c:pt>
                <c:pt idx="23">
                  <c:v>2.955</c:v>
                </c:pt>
                <c:pt idx="24">
                  <c:v>2.955</c:v>
                </c:pt>
                <c:pt idx="25">
                  <c:v>2.955</c:v>
                </c:pt>
                <c:pt idx="26">
                  <c:v>2.955</c:v>
                </c:pt>
                <c:pt idx="27">
                  <c:v>2.955</c:v>
                </c:pt>
                <c:pt idx="28">
                  <c:v>2.955</c:v>
                </c:pt>
                <c:pt idx="29">
                  <c:v>2.955</c:v>
                </c:pt>
                <c:pt idx="30">
                  <c:v>2.955</c:v>
                </c:pt>
                <c:pt idx="31">
                  <c:v>2.955</c:v>
                </c:pt>
                <c:pt idx="32">
                  <c:v>2.955</c:v>
                </c:pt>
                <c:pt idx="33">
                  <c:v>2.955</c:v>
                </c:pt>
                <c:pt idx="34">
                  <c:v>2.955</c:v>
                </c:pt>
                <c:pt idx="35">
                  <c:v>2.955</c:v>
                </c:pt>
                <c:pt idx="36">
                  <c:v>2.955</c:v>
                </c:pt>
                <c:pt idx="37">
                  <c:v>2.955</c:v>
                </c:pt>
                <c:pt idx="38">
                  <c:v>2.955</c:v>
                </c:pt>
                <c:pt idx="39">
                  <c:v>2.955</c:v>
                </c:pt>
                <c:pt idx="40">
                  <c:v>2.955</c:v>
                </c:pt>
                <c:pt idx="41">
                  <c:v>2.955</c:v>
                </c:pt>
                <c:pt idx="42">
                  <c:v>2.955</c:v>
                </c:pt>
                <c:pt idx="43">
                  <c:v>2.955</c:v>
                </c:pt>
                <c:pt idx="44">
                  <c:v>4.7772</c:v>
                </c:pt>
              </c:numCache>
            </c:numRef>
          </c:yVal>
          <c:smooth val="1"/>
        </c:ser>
        <c:axId val="53427264"/>
        <c:axId val="25352560"/>
      </c:scatterChart>
      <c:valAx>
        <c:axId val="534272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Distance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52560"/>
        <c:crosses val="autoZero"/>
        <c:crossBetween val="midCat"/>
      </c:valAx>
      <c:valAx>
        <c:axId val="253525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Velocity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2726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SES Air Temperature vs Distance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SES_Data!E1</c:f>
              <c:strCache>
                <c:ptCount val="1"/>
                <c:pt idx="0">
                  <c:v>Temp (C)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SES_Data!$B$2:$B$46</c:f>
              <c:numCache>
                <c:formatCode>General</c:formatCode>
                <c:ptCount val="45"/>
                <c:pt idx="0">
                  <c:v>10.7</c:v>
                </c:pt>
                <c:pt idx="1">
                  <c:v>32</c:v>
                </c:pt>
                <c:pt idx="2">
                  <c:v>53.4</c:v>
                </c:pt>
                <c:pt idx="3">
                  <c:v>79.4</c:v>
                </c:pt>
                <c:pt idx="4">
                  <c:v>98.1</c:v>
                </c:pt>
                <c:pt idx="5">
                  <c:v>112.2</c:v>
                </c:pt>
                <c:pt idx="6">
                  <c:v>133.5</c:v>
                </c:pt>
                <c:pt idx="7">
                  <c:v>154.9</c:v>
                </c:pt>
                <c:pt idx="8">
                  <c:v>177.6</c:v>
                </c:pt>
                <c:pt idx="9">
                  <c:v>193</c:v>
                </c:pt>
                <c:pt idx="10">
                  <c:v>207</c:v>
                </c:pt>
                <c:pt idx="11">
                  <c:v>228.3</c:v>
                </c:pt>
                <c:pt idx="12">
                  <c:v>249.7</c:v>
                </c:pt>
                <c:pt idx="13">
                  <c:v>272.5</c:v>
                </c:pt>
                <c:pt idx="14">
                  <c:v>288.1</c:v>
                </c:pt>
                <c:pt idx="15">
                  <c:v>302.1</c:v>
                </c:pt>
                <c:pt idx="16">
                  <c:v>323.4</c:v>
                </c:pt>
                <c:pt idx="17">
                  <c:v>344.8</c:v>
                </c:pt>
                <c:pt idx="18">
                  <c:v>367.5</c:v>
                </c:pt>
                <c:pt idx="19">
                  <c:v>382.9</c:v>
                </c:pt>
                <c:pt idx="20">
                  <c:v>393.5</c:v>
                </c:pt>
                <c:pt idx="21">
                  <c:v>411.5</c:v>
                </c:pt>
                <c:pt idx="22">
                  <c:v>432.8</c:v>
                </c:pt>
                <c:pt idx="23">
                  <c:v>454.2</c:v>
                </c:pt>
                <c:pt idx="24">
                  <c:v>469.6</c:v>
                </c:pt>
                <c:pt idx="25">
                  <c:v>477.7</c:v>
                </c:pt>
                <c:pt idx="26">
                  <c:v>491.7</c:v>
                </c:pt>
                <c:pt idx="27">
                  <c:v>513</c:v>
                </c:pt>
                <c:pt idx="28">
                  <c:v>534.4</c:v>
                </c:pt>
                <c:pt idx="29">
                  <c:v>555.4</c:v>
                </c:pt>
                <c:pt idx="30">
                  <c:v>569.1</c:v>
                </c:pt>
                <c:pt idx="31">
                  <c:v>583.1</c:v>
                </c:pt>
                <c:pt idx="32">
                  <c:v>604.4</c:v>
                </c:pt>
                <c:pt idx="33">
                  <c:v>625.8</c:v>
                </c:pt>
                <c:pt idx="34">
                  <c:v>647.1</c:v>
                </c:pt>
                <c:pt idx="35">
                  <c:v>662.6</c:v>
                </c:pt>
                <c:pt idx="36">
                  <c:v>670.9</c:v>
                </c:pt>
                <c:pt idx="37">
                  <c:v>684.9</c:v>
                </c:pt>
                <c:pt idx="38">
                  <c:v>706.2</c:v>
                </c:pt>
                <c:pt idx="39">
                  <c:v>727.6</c:v>
                </c:pt>
                <c:pt idx="40">
                  <c:v>748.6</c:v>
                </c:pt>
                <c:pt idx="41">
                  <c:v>762.4</c:v>
                </c:pt>
                <c:pt idx="42">
                  <c:v>776.4</c:v>
                </c:pt>
                <c:pt idx="43">
                  <c:v>797.7</c:v>
                </c:pt>
                <c:pt idx="44">
                  <c:v>820.4</c:v>
                </c:pt>
              </c:numCache>
            </c:numRef>
          </c:xVal>
          <c:yVal>
            <c:numRef>
              <c:f>SES_Data!$E$2:$E$46</c:f>
              <c:numCache>
                <c:formatCode>0.00</c:formatCode>
                <c:ptCount val="45"/>
                <c:pt idx="0">
                  <c:v>5.111</c:v>
                </c:pt>
                <c:pt idx="1">
                  <c:v>5.222</c:v>
                </c:pt>
                <c:pt idx="2">
                  <c:v>5.333</c:v>
                </c:pt>
                <c:pt idx="3">
                  <c:v>5.444</c:v>
                </c:pt>
                <c:pt idx="4">
                  <c:v>5.444</c:v>
                </c:pt>
                <c:pt idx="5">
                  <c:v>5.556</c:v>
                </c:pt>
                <c:pt idx="6">
                  <c:v>5.611</c:v>
                </c:pt>
                <c:pt idx="7">
                  <c:v>5.722</c:v>
                </c:pt>
                <c:pt idx="8">
                  <c:v>5.778</c:v>
                </c:pt>
                <c:pt idx="9">
                  <c:v>5.833</c:v>
                </c:pt>
                <c:pt idx="10">
                  <c:v>5.889</c:v>
                </c:pt>
                <c:pt idx="11">
                  <c:v>6</c:v>
                </c:pt>
                <c:pt idx="12">
                  <c:v>6.056</c:v>
                </c:pt>
                <c:pt idx="13">
                  <c:v>6.167</c:v>
                </c:pt>
                <c:pt idx="14">
                  <c:v>6.167</c:v>
                </c:pt>
                <c:pt idx="15">
                  <c:v>6.222</c:v>
                </c:pt>
                <c:pt idx="16">
                  <c:v>6.333</c:v>
                </c:pt>
                <c:pt idx="17">
                  <c:v>6.389</c:v>
                </c:pt>
                <c:pt idx="18">
                  <c:v>6.444</c:v>
                </c:pt>
                <c:pt idx="19">
                  <c:v>6.556</c:v>
                </c:pt>
                <c:pt idx="20">
                  <c:v>6.611</c:v>
                </c:pt>
                <c:pt idx="21">
                  <c:v>6.667</c:v>
                </c:pt>
                <c:pt idx="22">
                  <c:v>6.722</c:v>
                </c:pt>
                <c:pt idx="23">
                  <c:v>6.778</c:v>
                </c:pt>
                <c:pt idx="24">
                  <c:v>6.778</c:v>
                </c:pt>
                <c:pt idx="25">
                  <c:v>6.833</c:v>
                </c:pt>
                <c:pt idx="26">
                  <c:v>6.944</c:v>
                </c:pt>
                <c:pt idx="27">
                  <c:v>7</c:v>
                </c:pt>
                <c:pt idx="28">
                  <c:v>7.056</c:v>
                </c:pt>
                <c:pt idx="29">
                  <c:v>7.056</c:v>
                </c:pt>
                <c:pt idx="30">
                  <c:v>7.111</c:v>
                </c:pt>
                <c:pt idx="31">
                  <c:v>7.167</c:v>
                </c:pt>
                <c:pt idx="32">
                  <c:v>416.056</c:v>
                </c:pt>
                <c:pt idx="33">
                  <c:v>404.278</c:v>
                </c:pt>
                <c:pt idx="34">
                  <c:v>399</c:v>
                </c:pt>
                <c:pt idx="35">
                  <c:v>395.444</c:v>
                </c:pt>
                <c:pt idx="36">
                  <c:v>384.444</c:v>
                </c:pt>
                <c:pt idx="37">
                  <c:v>373.889</c:v>
                </c:pt>
                <c:pt idx="38">
                  <c:v>363.722</c:v>
                </c:pt>
                <c:pt idx="39">
                  <c:v>354.167</c:v>
                </c:pt>
                <c:pt idx="40">
                  <c:v>351.111</c:v>
                </c:pt>
                <c:pt idx="41">
                  <c:v>341.778</c:v>
                </c:pt>
                <c:pt idx="42">
                  <c:v>332.778</c:v>
                </c:pt>
                <c:pt idx="43">
                  <c:v>323.056</c:v>
                </c:pt>
                <c:pt idx="44">
                  <c:v>315.611</c:v>
                </c:pt>
              </c:numCache>
            </c:numRef>
          </c:yVal>
          <c:smooth val="1"/>
        </c:ser>
        <c:axId val="65674735"/>
        <c:axId val="58771182"/>
      </c:scatterChart>
      <c:valAx>
        <c:axId val="6567473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Distance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71182"/>
        <c:crosses val="autoZero"/>
        <c:crossBetween val="midCat"/>
      </c:valAx>
      <c:valAx>
        <c:axId val="587711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 (C)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7473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9</xdr:col>
      <xdr:colOff>255960</xdr:colOff>
      <xdr:row>17</xdr:row>
      <xdr:rowOff>182880</xdr:rowOff>
    </xdr:to>
    <xdr:graphicFrame>
      <xdr:nvGraphicFramePr>
        <xdr:cNvPr id="0" name="Chart 1"/>
        <xdr:cNvGraphicFramePr/>
      </xdr:nvGraphicFramePr>
      <xdr:xfrm>
        <a:off x="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160920</xdr:rowOff>
    </xdr:from>
    <xdr:to>
      <xdr:col>9</xdr:col>
      <xdr:colOff>255960</xdr:colOff>
      <xdr:row>35</xdr:row>
      <xdr:rowOff>182880</xdr:rowOff>
    </xdr:to>
    <xdr:graphicFrame>
      <xdr:nvGraphicFramePr>
        <xdr:cNvPr id="1" name="Chart 2"/>
        <xdr:cNvGraphicFramePr/>
      </xdr:nvGraphicFramePr>
      <xdr:xfrm>
        <a:off x="0" y="4000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78"/>
  </cols>
  <sheetData>
    <row r="2" customFormat="false" ht="19.7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42" hidden="false" customHeight="true" outlineLevel="0" collapsed="false">
      <c r="B5" s="3" t="s">
        <v>2</v>
      </c>
      <c r="C5" s="4" t="s">
        <v>3</v>
      </c>
    </row>
    <row r="6" customFormat="false" ht="42" hidden="false" customHeight="true" outlineLevel="0" collapsed="false">
      <c r="B6" s="3" t="s">
        <v>4</v>
      </c>
      <c r="C6" s="4" t="s">
        <v>5</v>
      </c>
    </row>
    <row r="7" customFormat="false" ht="27.75" hidden="false" customHeight="true" outlineLevel="0" collapsed="false">
      <c r="B7" s="3" t="s">
        <v>6</v>
      </c>
      <c r="C7" s="4" t="s">
        <v>7</v>
      </c>
    </row>
    <row r="8" customFormat="false" ht="27.75" hidden="false" customHeight="true" outlineLevel="0" collapsed="false">
      <c r="B8" s="3" t="s">
        <v>8</v>
      </c>
      <c r="C8" s="4" t="s">
        <v>9</v>
      </c>
    </row>
    <row r="9" customFormat="false" ht="27.75" hidden="false" customHeight="true" outlineLevel="0" collapsed="false">
      <c r="B9" s="3" t="s">
        <v>10</v>
      </c>
      <c r="C9" s="4" t="s">
        <v>11</v>
      </c>
    </row>
    <row r="10" customFormat="false" ht="27.75" hidden="false" customHeight="true" outlineLevel="0" collapsed="false">
      <c r="B10" s="3" t="s">
        <v>12</v>
      </c>
      <c r="C10" s="4" t="s">
        <v>13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11"/>
  </cols>
  <sheetData>
    <row r="1" customFormat="false" ht="15" hidden="false" customHeight="false" outlineLevel="0" collapsed="false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</row>
    <row r="2" customFormat="false" ht="15" hidden="false" customHeight="false" outlineLevel="0" collapsed="false">
      <c r="A2" s="6" t="n">
        <v>1</v>
      </c>
      <c r="B2" s="6" t="n">
        <v>10.7</v>
      </c>
      <c r="C2" s="7" t="n">
        <v>176.1126</v>
      </c>
      <c r="D2" s="7" t="n">
        <v>4.7772</v>
      </c>
      <c r="E2" s="7" t="n">
        <v>5.111</v>
      </c>
    </row>
    <row r="3" customFormat="false" ht="15" hidden="false" customHeight="false" outlineLevel="0" collapsed="false">
      <c r="A3" s="6" t="n">
        <v>2</v>
      </c>
      <c r="B3" s="6" t="n">
        <v>32</v>
      </c>
      <c r="C3" s="7" t="n">
        <v>176.1126</v>
      </c>
      <c r="D3" s="7" t="n">
        <v>2.955</v>
      </c>
      <c r="E3" s="7" t="n">
        <v>5.222</v>
      </c>
    </row>
    <row r="4" customFormat="false" ht="15" hidden="false" customHeight="false" outlineLevel="0" collapsed="false">
      <c r="A4" s="6" t="n">
        <v>3</v>
      </c>
      <c r="B4" s="6" t="n">
        <v>53.4</v>
      </c>
      <c r="C4" s="7" t="n">
        <v>176.1126</v>
      </c>
      <c r="D4" s="7" t="n">
        <v>2.955</v>
      </c>
      <c r="E4" s="7" t="n">
        <v>5.333</v>
      </c>
    </row>
    <row r="5" customFormat="false" ht="15" hidden="false" customHeight="false" outlineLevel="0" collapsed="false">
      <c r="A5" s="6" t="n">
        <v>4</v>
      </c>
      <c r="B5" s="6" t="n">
        <v>79.4</v>
      </c>
      <c r="C5" s="7" t="n">
        <v>176.1126</v>
      </c>
      <c r="D5" s="7" t="n">
        <v>2.955</v>
      </c>
      <c r="E5" s="7" t="n">
        <v>5.444</v>
      </c>
    </row>
    <row r="6" customFormat="false" ht="15" hidden="false" customHeight="false" outlineLevel="0" collapsed="false">
      <c r="A6" s="6" t="n">
        <v>5</v>
      </c>
      <c r="B6" s="6" t="n">
        <v>98.1</v>
      </c>
      <c r="C6" s="7" t="n">
        <v>176.1126</v>
      </c>
      <c r="D6" s="7" t="n">
        <v>2.955</v>
      </c>
      <c r="E6" s="7" t="n">
        <v>5.444</v>
      </c>
    </row>
    <row r="7" customFormat="false" ht="15" hidden="false" customHeight="false" outlineLevel="0" collapsed="false">
      <c r="A7" s="6" t="n">
        <v>6</v>
      </c>
      <c r="B7" s="6" t="n">
        <v>112.2</v>
      </c>
      <c r="C7" s="7" t="n">
        <v>176.1126</v>
      </c>
      <c r="D7" s="7" t="n">
        <v>2.955</v>
      </c>
      <c r="E7" s="7" t="n">
        <v>5.556</v>
      </c>
    </row>
    <row r="8" customFormat="false" ht="15" hidden="false" customHeight="false" outlineLevel="0" collapsed="false">
      <c r="A8" s="6" t="n">
        <v>7</v>
      </c>
      <c r="B8" s="6" t="n">
        <v>133.5</v>
      </c>
      <c r="C8" s="7" t="n">
        <v>176.1126</v>
      </c>
      <c r="D8" s="7" t="n">
        <v>2.955</v>
      </c>
      <c r="E8" s="7" t="n">
        <v>5.611</v>
      </c>
    </row>
    <row r="9" customFormat="false" ht="15" hidden="false" customHeight="false" outlineLevel="0" collapsed="false">
      <c r="A9" s="6" t="n">
        <v>8</v>
      </c>
      <c r="B9" s="6" t="n">
        <v>154.9</v>
      </c>
      <c r="C9" s="7" t="n">
        <v>176.1126</v>
      </c>
      <c r="D9" s="7" t="n">
        <v>2.955</v>
      </c>
      <c r="E9" s="7" t="n">
        <v>5.722</v>
      </c>
    </row>
    <row r="10" customFormat="false" ht="15" hidden="false" customHeight="false" outlineLevel="0" collapsed="false">
      <c r="A10" s="6" t="n">
        <v>9</v>
      </c>
      <c r="B10" s="6" t="n">
        <v>177.6</v>
      </c>
      <c r="C10" s="7" t="n">
        <v>176.1126</v>
      </c>
      <c r="D10" s="7" t="n">
        <v>2.955</v>
      </c>
      <c r="E10" s="7" t="n">
        <v>5.778</v>
      </c>
    </row>
    <row r="11" customFormat="false" ht="15" hidden="false" customHeight="false" outlineLevel="0" collapsed="false">
      <c r="A11" s="6" t="n">
        <v>10</v>
      </c>
      <c r="B11" s="6" t="n">
        <v>193</v>
      </c>
      <c r="C11" s="7" t="n">
        <v>176.1126</v>
      </c>
      <c r="D11" s="7" t="n">
        <v>2.955</v>
      </c>
      <c r="E11" s="7" t="n">
        <v>5.833</v>
      </c>
    </row>
    <row r="12" customFormat="false" ht="15" hidden="false" customHeight="false" outlineLevel="0" collapsed="false">
      <c r="A12" s="6" t="n">
        <v>11</v>
      </c>
      <c r="B12" s="6" t="n">
        <v>207</v>
      </c>
      <c r="C12" s="7" t="n">
        <v>176.1126</v>
      </c>
      <c r="D12" s="7" t="n">
        <v>2.955</v>
      </c>
      <c r="E12" s="7" t="n">
        <v>5.889</v>
      </c>
    </row>
    <row r="13" customFormat="false" ht="15" hidden="false" customHeight="false" outlineLevel="0" collapsed="false">
      <c r="A13" s="6" t="n">
        <v>12</v>
      </c>
      <c r="B13" s="6" t="n">
        <v>228.3</v>
      </c>
      <c r="C13" s="7" t="n">
        <v>176.1126</v>
      </c>
      <c r="D13" s="7" t="n">
        <v>2.955</v>
      </c>
      <c r="E13" s="7" t="n">
        <v>6</v>
      </c>
    </row>
    <row r="14" customFormat="false" ht="15" hidden="false" customHeight="false" outlineLevel="0" collapsed="false">
      <c r="A14" s="6" t="n">
        <v>13</v>
      </c>
      <c r="B14" s="6" t="n">
        <v>249.7</v>
      </c>
      <c r="C14" s="7" t="n">
        <v>176.1126</v>
      </c>
      <c r="D14" s="7" t="n">
        <v>2.955</v>
      </c>
      <c r="E14" s="7" t="n">
        <v>6.056</v>
      </c>
    </row>
    <row r="15" customFormat="false" ht="15" hidden="false" customHeight="false" outlineLevel="0" collapsed="false">
      <c r="A15" s="6" t="n">
        <v>14</v>
      </c>
      <c r="B15" s="6" t="n">
        <v>272.5</v>
      </c>
      <c r="C15" s="7" t="n">
        <v>176.1126</v>
      </c>
      <c r="D15" s="7" t="n">
        <v>2.955</v>
      </c>
      <c r="E15" s="7" t="n">
        <v>6.167</v>
      </c>
    </row>
    <row r="16" customFormat="false" ht="15" hidden="false" customHeight="false" outlineLevel="0" collapsed="false">
      <c r="A16" s="6" t="n">
        <v>15</v>
      </c>
      <c r="B16" s="6" t="n">
        <v>288.1</v>
      </c>
      <c r="C16" s="7" t="n">
        <v>176.1126</v>
      </c>
      <c r="D16" s="7" t="n">
        <v>2.955</v>
      </c>
      <c r="E16" s="7" t="n">
        <v>6.167</v>
      </c>
    </row>
    <row r="17" customFormat="false" ht="15" hidden="false" customHeight="false" outlineLevel="0" collapsed="false">
      <c r="A17" s="6" t="n">
        <v>16</v>
      </c>
      <c r="B17" s="6" t="n">
        <v>302.1</v>
      </c>
      <c r="C17" s="7" t="n">
        <v>176.1126</v>
      </c>
      <c r="D17" s="7" t="n">
        <v>2.955</v>
      </c>
      <c r="E17" s="7" t="n">
        <v>6.222</v>
      </c>
    </row>
    <row r="18" customFormat="false" ht="15" hidden="false" customHeight="false" outlineLevel="0" collapsed="false">
      <c r="A18" s="6" t="n">
        <v>17</v>
      </c>
      <c r="B18" s="6" t="n">
        <v>323.4</v>
      </c>
      <c r="C18" s="7" t="n">
        <v>176.1126</v>
      </c>
      <c r="D18" s="7" t="n">
        <v>2.955</v>
      </c>
      <c r="E18" s="7" t="n">
        <v>6.333</v>
      </c>
    </row>
    <row r="19" customFormat="false" ht="15" hidden="false" customHeight="false" outlineLevel="0" collapsed="false">
      <c r="A19" s="6" t="n">
        <v>18</v>
      </c>
      <c r="B19" s="6" t="n">
        <v>344.8</v>
      </c>
      <c r="C19" s="7" t="n">
        <v>176.1126</v>
      </c>
      <c r="D19" s="7" t="n">
        <v>2.955</v>
      </c>
      <c r="E19" s="7" t="n">
        <v>6.389</v>
      </c>
    </row>
    <row r="20" customFormat="false" ht="15" hidden="false" customHeight="false" outlineLevel="0" collapsed="false">
      <c r="A20" s="6" t="n">
        <v>19</v>
      </c>
      <c r="B20" s="6" t="n">
        <v>367.5</v>
      </c>
      <c r="C20" s="7" t="n">
        <v>176.1126</v>
      </c>
      <c r="D20" s="7" t="n">
        <v>2.955</v>
      </c>
      <c r="E20" s="7" t="n">
        <v>6.444</v>
      </c>
    </row>
    <row r="21" customFormat="false" ht="15" hidden="false" customHeight="false" outlineLevel="0" collapsed="false">
      <c r="A21" s="6" t="n">
        <v>20</v>
      </c>
      <c r="B21" s="6" t="n">
        <v>382.9</v>
      </c>
      <c r="C21" s="7" t="n">
        <v>176.1126</v>
      </c>
      <c r="D21" s="7" t="n">
        <v>2.955</v>
      </c>
      <c r="E21" s="7" t="n">
        <v>6.556</v>
      </c>
    </row>
    <row r="22" customFormat="false" ht="15" hidden="false" customHeight="false" outlineLevel="0" collapsed="false">
      <c r="A22" s="6" t="n">
        <v>21</v>
      </c>
      <c r="B22" s="6" t="n">
        <v>393.5</v>
      </c>
      <c r="C22" s="7" t="n">
        <v>176.1126</v>
      </c>
      <c r="D22" s="7" t="n">
        <v>2.955</v>
      </c>
      <c r="E22" s="7" t="n">
        <v>6.611</v>
      </c>
    </row>
    <row r="23" customFormat="false" ht="15" hidden="false" customHeight="false" outlineLevel="0" collapsed="false">
      <c r="A23" s="6" t="n">
        <v>22</v>
      </c>
      <c r="B23" s="6" t="n">
        <v>411.5</v>
      </c>
      <c r="C23" s="7" t="n">
        <v>176.1126</v>
      </c>
      <c r="D23" s="7" t="n">
        <v>2.955</v>
      </c>
      <c r="E23" s="7" t="n">
        <v>6.667</v>
      </c>
    </row>
    <row r="24" customFormat="false" ht="15" hidden="false" customHeight="false" outlineLevel="0" collapsed="false">
      <c r="A24" s="6" t="n">
        <v>23</v>
      </c>
      <c r="B24" s="6" t="n">
        <v>432.8</v>
      </c>
      <c r="C24" s="7" t="n">
        <v>176.1126</v>
      </c>
      <c r="D24" s="7" t="n">
        <v>2.955</v>
      </c>
      <c r="E24" s="7" t="n">
        <v>6.722</v>
      </c>
    </row>
    <row r="25" customFormat="false" ht="15" hidden="false" customHeight="false" outlineLevel="0" collapsed="false">
      <c r="A25" s="6" t="n">
        <v>24</v>
      </c>
      <c r="B25" s="6" t="n">
        <v>454.2</v>
      </c>
      <c r="C25" s="7" t="n">
        <v>176.1126</v>
      </c>
      <c r="D25" s="7" t="n">
        <v>2.955</v>
      </c>
      <c r="E25" s="7" t="n">
        <v>6.778</v>
      </c>
    </row>
    <row r="26" customFormat="false" ht="15" hidden="false" customHeight="false" outlineLevel="0" collapsed="false">
      <c r="A26" s="6" t="n">
        <v>25</v>
      </c>
      <c r="B26" s="6" t="n">
        <v>469.6</v>
      </c>
      <c r="C26" s="7" t="n">
        <v>176.1126</v>
      </c>
      <c r="D26" s="7" t="n">
        <v>2.955</v>
      </c>
      <c r="E26" s="7" t="n">
        <v>6.778</v>
      </c>
    </row>
    <row r="27" customFormat="false" ht="15" hidden="false" customHeight="false" outlineLevel="0" collapsed="false">
      <c r="A27" s="6" t="n">
        <v>26</v>
      </c>
      <c r="B27" s="6" t="n">
        <v>477.7</v>
      </c>
      <c r="C27" s="7" t="n">
        <v>176.1126</v>
      </c>
      <c r="D27" s="7" t="n">
        <v>2.955</v>
      </c>
      <c r="E27" s="7" t="n">
        <v>6.833</v>
      </c>
    </row>
    <row r="28" customFormat="false" ht="15" hidden="false" customHeight="false" outlineLevel="0" collapsed="false">
      <c r="A28" s="6" t="n">
        <v>27</v>
      </c>
      <c r="B28" s="6" t="n">
        <v>491.7</v>
      </c>
      <c r="C28" s="7" t="n">
        <v>176.1126</v>
      </c>
      <c r="D28" s="7" t="n">
        <v>2.955</v>
      </c>
      <c r="E28" s="7" t="n">
        <v>6.944</v>
      </c>
    </row>
    <row r="29" customFormat="false" ht="15" hidden="false" customHeight="false" outlineLevel="0" collapsed="false">
      <c r="A29" s="6" t="n">
        <v>28</v>
      </c>
      <c r="B29" s="6" t="n">
        <v>513</v>
      </c>
      <c r="C29" s="7" t="n">
        <v>176.1126</v>
      </c>
      <c r="D29" s="7" t="n">
        <v>2.955</v>
      </c>
      <c r="E29" s="7" t="n">
        <v>7</v>
      </c>
    </row>
    <row r="30" customFormat="false" ht="15" hidden="false" customHeight="false" outlineLevel="0" collapsed="false">
      <c r="A30" s="6" t="n">
        <v>29</v>
      </c>
      <c r="B30" s="6" t="n">
        <v>534.4</v>
      </c>
      <c r="C30" s="7" t="n">
        <v>176.1126</v>
      </c>
      <c r="D30" s="7" t="n">
        <v>2.955</v>
      </c>
      <c r="E30" s="7" t="n">
        <v>7.056</v>
      </c>
    </row>
    <row r="31" customFormat="false" ht="15" hidden="false" customHeight="false" outlineLevel="0" collapsed="false">
      <c r="A31" s="6" t="n">
        <v>30</v>
      </c>
      <c r="B31" s="6" t="n">
        <v>555.4</v>
      </c>
      <c r="C31" s="7" t="n">
        <v>176.1126</v>
      </c>
      <c r="D31" s="7" t="n">
        <v>2.955</v>
      </c>
      <c r="E31" s="7" t="n">
        <v>7.056</v>
      </c>
    </row>
    <row r="32" customFormat="false" ht="15" hidden="false" customHeight="false" outlineLevel="0" collapsed="false">
      <c r="A32" s="6" t="n">
        <v>31</v>
      </c>
      <c r="B32" s="6" t="n">
        <v>569.1</v>
      </c>
      <c r="C32" s="7" t="n">
        <v>176.1126</v>
      </c>
      <c r="D32" s="7" t="n">
        <v>2.955</v>
      </c>
      <c r="E32" s="7" t="n">
        <v>7.111</v>
      </c>
    </row>
    <row r="33" customFormat="false" ht="15" hidden="false" customHeight="false" outlineLevel="0" collapsed="false">
      <c r="A33" s="6" t="n">
        <v>32</v>
      </c>
      <c r="B33" s="6" t="n">
        <v>583.1</v>
      </c>
      <c r="C33" s="7" t="n">
        <v>176.1126</v>
      </c>
      <c r="D33" s="7" t="n">
        <v>2.955</v>
      </c>
      <c r="E33" s="7" t="n">
        <v>7.167</v>
      </c>
    </row>
    <row r="34" customFormat="false" ht="15" hidden="false" customHeight="false" outlineLevel="0" collapsed="false">
      <c r="A34" s="6" t="n">
        <v>33</v>
      </c>
      <c r="B34" s="6" t="n">
        <v>604.4</v>
      </c>
      <c r="C34" s="7" t="n">
        <v>176.1126</v>
      </c>
      <c r="D34" s="7" t="n">
        <v>2.955</v>
      </c>
      <c r="E34" s="7" t="n">
        <v>416.056</v>
      </c>
    </row>
    <row r="35" customFormat="false" ht="15" hidden="false" customHeight="false" outlineLevel="0" collapsed="false">
      <c r="A35" s="6" t="n">
        <v>34</v>
      </c>
      <c r="B35" s="6" t="n">
        <v>625.8</v>
      </c>
      <c r="C35" s="7" t="n">
        <v>176.1126</v>
      </c>
      <c r="D35" s="7" t="n">
        <v>2.955</v>
      </c>
      <c r="E35" s="7" t="n">
        <v>404.278</v>
      </c>
    </row>
    <row r="36" customFormat="false" ht="15" hidden="false" customHeight="false" outlineLevel="0" collapsed="false">
      <c r="A36" s="6" t="n">
        <v>35</v>
      </c>
      <c r="B36" s="6" t="n">
        <v>647.1</v>
      </c>
      <c r="C36" s="7" t="n">
        <v>176.1126</v>
      </c>
      <c r="D36" s="7" t="n">
        <v>2.955</v>
      </c>
      <c r="E36" s="7" t="n">
        <v>399</v>
      </c>
    </row>
    <row r="37" customFormat="false" ht="15" hidden="false" customHeight="false" outlineLevel="0" collapsed="false">
      <c r="A37" s="6" t="n">
        <v>36</v>
      </c>
      <c r="B37" s="6" t="n">
        <v>662.6</v>
      </c>
      <c r="C37" s="7" t="n">
        <v>176.1126</v>
      </c>
      <c r="D37" s="7" t="n">
        <v>2.955</v>
      </c>
      <c r="E37" s="7" t="n">
        <v>395.444</v>
      </c>
    </row>
    <row r="38" customFormat="false" ht="15" hidden="false" customHeight="false" outlineLevel="0" collapsed="false">
      <c r="A38" s="6" t="n">
        <v>37</v>
      </c>
      <c r="B38" s="6" t="n">
        <v>670.9</v>
      </c>
      <c r="C38" s="7" t="n">
        <v>176.1126</v>
      </c>
      <c r="D38" s="7" t="n">
        <v>2.955</v>
      </c>
      <c r="E38" s="7" t="n">
        <v>384.444</v>
      </c>
    </row>
    <row r="39" customFormat="false" ht="15" hidden="false" customHeight="false" outlineLevel="0" collapsed="false">
      <c r="A39" s="6" t="n">
        <v>38</v>
      </c>
      <c r="B39" s="6" t="n">
        <v>684.9</v>
      </c>
      <c r="C39" s="7" t="n">
        <v>176.1126</v>
      </c>
      <c r="D39" s="7" t="n">
        <v>2.955</v>
      </c>
      <c r="E39" s="7" t="n">
        <v>373.889</v>
      </c>
    </row>
    <row r="40" customFormat="false" ht="15" hidden="false" customHeight="false" outlineLevel="0" collapsed="false">
      <c r="A40" s="6" t="n">
        <v>39</v>
      </c>
      <c r="B40" s="6" t="n">
        <v>706.2</v>
      </c>
      <c r="C40" s="7" t="n">
        <v>176.1126</v>
      </c>
      <c r="D40" s="7" t="n">
        <v>2.955</v>
      </c>
      <c r="E40" s="7" t="n">
        <v>363.722</v>
      </c>
    </row>
    <row r="41" customFormat="false" ht="15" hidden="false" customHeight="false" outlineLevel="0" collapsed="false">
      <c r="A41" s="6" t="n">
        <v>40</v>
      </c>
      <c r="B41" s="6" t="n">
        <v>727.6</v>
      </c>
      <c r="C41" s="7" t="n">
        <v>176.1126</v>
      </c>
      <c r="D41" s="7" t="n">
        <v>2.955</v>
      </c>
      <c r="E41" s="7" t="n">
        <v>354.167</v>
      </c>
    </row>
    <row r="42" customFormat="false" ht="15" hidden="false" customHeight="false" outlineLevel="0" collapsed="false">
      <c r="A42" s="6" t="n">
        <v>41</v>
      </c>
      <c r="B42" s="6" t="n">
        <v>748.6</v>
      </c>
      <c r="C42" s="7" t="n">
        <v>176.1126</v>
      </c>
      <c r="D42" s="7" t="n">
        <v>2.955</v>
      </c>
      <c r="E42" s="7" t="n">
        <v>351.111</v>
      </c>
    </row>
    <row r="43" customFormat="false" ht="15" hidden="false" customHeight="false" outlineLevel="0" collapsed="false">
      <c r="A43" s="6" t="n">
        <v>42</v>
      </c>
      <c r="B43" s="6" t="n">
        <v>762.4</v>
      </c>
      <c r="C43" s="7" t="n">
        <v>176.1126</v>
      </c>
      <c r="D43" s="7" t="n">
        <v>2.955</v>
      </c>
      <c r="E43" s="7" t="n">
        <v>341.778</v>
      </c>
    </row>
    <row r="44" customFormat="false" ht="15" hidden="false" customHeight="false" outlineLevel="0" collapsed="false">
      <c r="A44" s="6" t="n">
        <v>43</v>
      </c>
      <c r="B44" s="6" t="n">
        <v>776.4</v>
      </c>
      <c r="C44" s="7" t="n">
        <v>176.1126</v>
      </c>
      <c r="D44" s="7" t="n">
        <v>2.955</v>
      </c>
      <c r="E44" s="7" t="n">
        <v>332.778</v>
      </c>
    </row>
    <row r="45" customFormat="false" ht="15" hidden="false" customHeight="false" outlineLevel="0" collapsed="false">
      <c r="A45" s="6" t="n">
        <v>44</v>
      </c>
      <c r="B45" s="6" t="n">
        <v>797.7</v>
      </c>
      <c r="C45" s="7" t="n">
        <v>176.1126</v>
      </c>
      <c r="D45" s="7" t="n">
        <v>2.955</v>
      </c>
      <c r="E45" s="7" t="n">
        <v>323.056</v>
      </c>
    </row>
    <row r="46" customFormat="false" ht="15" hidden="false" customHeight="false" outlineLevel="0" collapsed="false">
      <c r="A46" s="6" t="n">
        <v>45</v>
      </c>
      <c r="B46" s="6" t="n">
        <v>820.4</v>
      </c>
      <c r="C46" s="7" t="n">
        <v>176.1126</v>
      </c>
      <c r="D46" s="7" t="n">
        <v>4.7772</v>
      </c>
      <c r="E46" s="7" t="n">
        <v>315.611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8" t="s">
        <v>19</v>
      </c>
    </row>
    <row r="2" customFormat="false" ht="15" hidden="false" customHeight="false" outlineLevel="0" collapsed="false">
      <c r="A2" s="9" t="s">
        <v>20</v>
      </c>
      <c r="B2" s="9" t="s">
        <v>21</v>
      </c>
    </row>
    <row r="3" customFormat="false" ht="15" hidden="false" customHeight="false" outlineLevel="0" collapsed="false">
      <c r="A3" s="10" t="s">
        <v>22</v>
      </c>
      <c r="B3" s="11" t="n">
        <v>229.28</v>
      </c>
    </row>
    <row r="4" customFormat="false" ht="15" hidden="false" customHeight="false" outlineLevel="0" collapsed="false">
      <c r="A4" s="10" t="s">
        <v>23</v>
      </c>
      <c r="B4" s="11" t="n">
        <v>224.64</v>
      </c>
    </row>
    <row r="5" customFormat="false" ht="15" hidden="false" customHeight="false" outlineLevel="0" collapsed="false">
      <c r="A5" s="10" t="s">
        <v>24</v>
      </c>
      <c r="B5" s="11" t="n">
        <v>263.91</v>
      </c>
    </row>
    <row r="6" customFormat="false" ht="15" hidden="false" customHeight="false" outlineLevel="0" collapsed="false">
      <c r="A6" s="10" t="s">
        <v>25</v>
      </c>
      <c r="B6" s="11" t="n">
        <v>259.07</v>
      </c>
    </row>
    <row r="7" customFormat="false" ht="15" hidden="false" customHeight="false" outlineLevel="0" collapsed="false">
      <c r="A7" s="10" t="s">
        <v>26</v>
      </c>
      <c r="B7" s="11" t="n">
        <v>253.76</v>
      </c>
    </row>
    <row r="8" customFormat="false" ht="15" hidden="false" customHeight="false" outlineLevel="0" collapsed="false">
      <c r="A8" s="10" t="s">
        <v>27</v>
      </c>
      <c r="B8" s="11" t="n">
        <v>277.19</v>
      </c>
    </row>
    <row r="9" customFormat="false" ht="15" hidden="false" customHeight="false" outlineLevel="0" collapsed="false">
      <c r="A9" s="10" t="s">
        <v>28</v>
      </c>
      <c r="B9" s="11" t="n">
        <v>169.42</v>
      </c>
    </row>
    <row r="10" customFormat="false" ht="15" hidden="false" customHeight="false" outlineLevel="0" collapsed="false">
      <c r="A10" s="10" t="s">
        <v>29</v>
      </c>
      <c r="B10" s="11" t="n">
        <v>63.83</v>
      </c>
    </row>
    <row r="11" customFormat="false" ht="15" hidden="false" customHeight="false" outlineLevel="0" collapsed="false">
      <c r="A11" s="10" t="s">
        <v>30</v>
      </c>
      <c r="B11" s="11" t="n">
        <v>207.88</v>
      </c>
    </row>
    <row r="12" customFormat="false" ht="15" hidden="false" customHeight="false" outlineLevel="0" collapsed="false">
      <c r="A12" s="10" t="s">
        <v>31</v>
      </c>
      <c r="B12" s="11" t="n">
        <v>220.93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12" t="s">
        <v>32</v>
      </c>
      <c r="B1" s="12"/>
      <c r="C1" s="12"/>
      <c r="D1" s="12"/>
      <c r="E1" s="12"/>
      <c r="F1" s="12"/>
    </row>
    <row r="2" customFormat="false" ht="15" hidden="false" customHeight="false" outlineLevel="0" collapsed="false">
      <c r="A2" s="13" t="s">
        <v>33</v>
      </c>
    </row>
    <row r="3" customFormat="false" ht="15" hidden="false" customHeight="false" outlineLevel="0" collapsed="false">
      <c r="A3" s="5" t="s">
        <v>34</v>
      </c>
      <c r="B3" s="5" t="s">
        <v>35</v>
      </c>
      <c r="C3" s="5" t="s">
        <v>36</v>
      </c>
      <c r="D3" s="5" t="s">
        <v>37</v>
      </c>
      <c r="E3" s="5" t="s">
        <v>38</v>
      </c>
      <c r="F3" s="5" t="s">
        <v>39</v>
      </c>
    </row>
    <row r="4" customFormat="false" ht="15" hidden="false" customHeight="false" outlineLevel="0" collapsed="false">
      <c r="A4" s="10" t="s">
        <v>22</v>
      </c>
      <c r="B4" s="14" t="n">
        <v>229.28</v>
      </c>
      <c r="C4" s="15" t="n">
        <f aca="false">AVERAGE(SES_Data!C2:C46)</f>
        <v>176.1126</v>
      </c>
      <c r="D4" s="16" t="n">
        <f aca="false">C4-B4</f>
        <v>-53.1674</v>
      </c>
      <c r="E4" s="17" t="n">
        <f aca="false">IF(B4=0,0,(C4-B4)/B4)</f>
        <v>-0.231888520586183</v>
      </c>
      <c r="F4" s="18" t="str">
        <f aca="false">IF(ABS(E4)&lt;=0.2,"YES","NO")</f>
        <v>NO</v>
      </c>
    </row>
    <row r="5" customFormat="false" ht="15" hidden="false" customHeight="false" outlineLevel="0" collapsed="false">
      <c r="A5" s="10" t="s">
        <v>23</v>
      </c>
      <c r="B5" s="14" t="n">
        <v>224.64</v>
      </c>
      <c r="C5" s="15" t="n">
        <f aca="false">AVERAGE(SES_Data!C2:C46)</f>
        <v>176.1126</v>
      </c>
      <c r="D5" s="16" t="n">
        <f aca="false">C5-B5</f>
        <v>-48.5274</v>
      </c>
      <c r="E5" s="17" t="n">
        <f aca="false">IF(B5=0,0,(C5-B5)/B5)</f>
        <v>-0.21602297008547</v>
      </c>
      <c r="F5" s="18" t="str">
        <f aca="false">IF(ABS(E5)&lt;=0.2,"YES","NO")</f>
        <v>NO</v>
      </c>
    </row>
    <row r="6" customFormat="false" ht="15" hidden="false" customHeight="false" outlineLevel="0" collapsed="false">
      <c r="A6" s="10" t="s">
        <v>24</v>
      </c>
      <c r="B6" s="14" t="n">
        <v>263.91</v>
      </c>
      <c r="C6" s="15" t="n">
        <f aca="false">AVERAGE(SES_Data!C2:C46)</f>
        <v>176.1126</v>
      </c>
      <c r="D6" s="16" t="n">
        <f aca="false">C6-B6</f>
        <v>-87.7974</v>
      </c>
      <c r="E6" s="17" t="n">
        <f aca="false">IF(B6=0,0,(C6-B6)/B6)</f>
        <v>-0.332679322496306</v>
      </c>
      <c r="F6" s="18" t="str">
        <f aca="false">IF(ABS(E6)&lt;=0.2,"YES","NO")</f>
        <v>NO</v>
      </c>
    </row>
    <row r="7" customFormat="false" ht="15" hidden="false" customHeight="false" outlineLevel="0" collapsed="false">
      <c r="A7" s="10" t="s">
        <v>25</v>
      </c>
      <c r="B7" s="14" t="n">
        <v>259.07</v>
      </c>
      <c r="C7" s="15" t="n">
        <f aca="false">AVERAGE(SES_Data!C2:C46)</f>
        <v>176.1126</v>
      </c>
      <c r="D7" s="16" t="n">
        <f aca="false">C7-B7</f>
        <v>-82.9574</v>
      </c>
      <c r="E7" s="17" t="n">
        <f aca="false">IF(B7=0,0,(C7-B7)/B7)</f>
        <v>-0.320212297834562</v>
      </c>
      <c r="F7" s="18" t="str">
        <f aca="false">IF(ABS(E7)&lt;=0.2,"YES","NO")</f>
        <v>NO</v>
      </c>
    </row>
    <row r="8" customFormat="false" ht="15" hidden="false" customHeight="false" outlineLevel="0" collapsed="false">
      <c r="A8" s="10" t="s">
        <v>26</v>
      </c>
      <c r="B8" s="14" t="n">
        <v>253.76</v>
      </c>
      <c r="C8" s="15" t="n">
        <f aca="false">AVERAGE(SES_Data!C2:C46)</f>
        <v>176.1126</v>
      </c>
      <c r="D8" s="16" t="n">
        <f aca="false">C8-B8</f>
        <v>-77.6474</v>
      </c>
      <c r="E8" s="17" t="n">
        <f aca="false">IF(B8=0,0,(C8-B8)/B8)</f>
        <v>-0.305987547288777</v>
      </c>
      <c r="F8" s="18" t="str">
        <f aca="false">IF(ABS(E8)&lt;=0.2,"YES","NO")</f>
        <v>NO</v>
      </c>
    </row>
    <row r="9" customFormat="false" ht="15" hidden="false" customHeight="false" outlineLevel="0" collapsed="false">
      <c r="A9" s="10" t="s">
        <v>27</v>
      </c>
      <c r="B9" s="14" t="n">
        <v>277.19</v>
      </c>
      <c r="C9" s="15" t="n">
        <f aca="false">AVERAGE(SES_Data!C2:C46)</f>
        <v>176.1126</v>
      </c>
      <c r="D9" s="16" t="n">
        <f aca="false">C9-B9</f>
        <v>-101.0774</v>
      </c>
      <c r="E9" s="17" t="n">
        <f aca="false">IF(B9=0,0,(C9-B9)/B9)</f>
        <v>-0.364650239907645</v>
      </c>
      <c r="F9" s="18" t="str">
        <f aca="false">IF(ABS(E9)&lt;=0.2,"YES","NO")</f>
        <v>NO</v>
      </c>
    </row>
    <row r="10" customFormat="false" ht="15" hidden="false" customHeight="false" outlineLevel="0" collapsed="false">
      <c r="A10" s="10" t="s">
        <v>28</v>
      </c>
      <c r="B10" s="14" t="n">
        <v>169.42</v>
      </c>
      <c r="C10" s="15" t="n">
        <f aca="false">AVERAGE(SES_Data!C2:C46)</f>
        <v>176.1126</v>
      </c>
      <c r="D10" s="16" t="n">
        <f aca="false">C10-B10</f>
        <v>6.6926</v>
      </c>
      <c r="E10" s="17" t="n">
        <f aca="false">IF(B10=0,0,(C10-B10)/B10)</f>
        <v>0.0395030102703341</v>
      </c>
      <c r="F10" s="18" t="str">
        <f aca="false">IF(ABS(E10)&lt;=0.2,"YES","NO")</f>
        <v>YES</v>
      </c>
    </row>
    <row r="11" customFormat="false" ht="15" hidden="false" customHeight="false" outlineLevel="0" collapsed="false">
      <c r="A11" s="10" t="s">
        <v>29</v>
      </c>
      <c r="B11" s="14" t="n">
        <v>63.83</v>
      </c>
      <c r="C11" s="15" t="n">
        <f aca="false">AVERAGE(SES_Data!C2:C46)</f>
        <v>176.1126</v>
      </c>
      <c r="D11" s="16" t="n">
        <f aca="false">C11-B11</f>
        <v>112.2826</v>
      </c>
      <c r="E11" s="17" t="n">
        <f aca="false">IF(B11=0,0,(C11-B11)/B11)</f>
        <v>1.75908820303932</v>
      </c>
      <c r="F11" s="18" t="str">
        <f aca="false">IF(ABS(E11)&lt;=0.2,"YES","NO")</f>
        <v>NO</v>
      </c>
    </row>
    <row r="12" customFormat="false" ht="15" hidden="false" customHeight="false" outlineLevel="0" collapsed="false">
      <c r="A12" s="10" t="s">
        <v>30</v>
      </c>
      <c r="B12" s="14" t="n">
        <v>207.88</v>
      </c>
      <c r="C12" s="15" t="n">
        <f aca="false">AVERAGE(SES_Data!C2:C46)</f>
        <v>176.1126</v>
      </c>
      <c r="D12" s="16" t="n">
        <f aca="false">C12-B12</f>
        <v>-31.7674</v>
      </c>
      <c r="E12" s="17" t="n">
        <f aca="false">IF(B12=0,0,(C12-B12)/B12)</f>
        <v>-0.152816047719838</v>
      </c>
      <c r="F12" s="18" t="str">
        <f aca="false">IF(ABS(E12)&lt;=0.2,"YES","NO")</f>
        <v>YES</v>
      </c>
    </row>
    <row r="13" customFormat="false" ht="15" hidden="false" customHeight="false" outlineLevel="0" collapsed="false">
      <c r="A13" s="10" t="s">
        <v>31</v>
      </c>
      <c r="B13" s="14" t="n">
        <v>220.93</v>
      </c>
      <c r="C13" s="15" t="n">
        <f aca="false">AVERAGE(SES_Data!C2:C46)</f>
        <v>176.1126</v>
      </c>
      <c r="D13" s="16" t="n">
        <f aca="false">C13-B13</f>
        <v>-44.8174</v>
      </c>
      <c r="E13" s="17" t="n">
        <f aca="false">IF(B13=0,0,(C13-B13)/B13)</f>
        <v>-0.202857918797809</v>
      </c>
      <c r="F13" s="18" t="str">
        <f aca="false">IF(ABS(E13)&lt;=0.2,"YES","NO")</f>
        <v>NO</v>
      </c>
    </row>
    <row r="15" customFormat="false" ht="15" hidden="false" customHeight="false" outlineLevel="0" collapsed="false">
      <c r="A15" s="19" t="s">
        <v>40</v>
      </c>
      <c r="B15" s="20" t="n">
        <f aca="false">AVERAGE(B4:B13)</f>
        <v>216.991</v>
      </c>
      <c r="C15" s="20" t="n">
        <f aca="false">C4</f>
        <v>176.1126</v>
      </c>
    </row>
    <row r="16" customFormat="false" ht="15" hidden="false" customHeight="false" outlineLevel="0" collapsed="false">
      <c r="A16" s="21" t="s">
        <v>41</v>
      </c>
      <c r="E16" s="22" t="n">
        <f aca="false">(C4-AVERAGE(B4:B13))/AVERAGE(B4:B13)</f>
        <v>-0.188387536810282</v>
      </c>
    </row>
    <row r="17" customFormat="false" ht="15" hidden="false" customHeight="false" outlineLevel="0" collapsed="false">
      <c r="A17" s="21" t="s">
        <v>42</v>
      </c>
      <c r="E17" s="23" t="n">
        <f aca="false">SUMPRODUCT(ABS(E4:E13))/COUNT(E4:E13)</f>
        <v>0.392570607802625</v>
      </c>
    </row>
    <row r="19" customFormat="false" ht="30" hidden="false" customHeight="true" outlineLevel="0" collapsed="false">
      <c r="A19" s="24" t="s">
        <v>43</v>
      </c>
      <c r="B19" s="24"/>
      <c r="C19" s="24"/>
      <c r="D19" s="24"/>
      <c r="E19" s="24"/>
      <c r="F19" s="24"/>
    </row>
  </sheetData>
  <mergeCells count="2">
    <mergeCell ref="A1:F1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25" t="s">
        <v>44</v>
      </c>
    </row>
    <row r="2" customFormat="false" ht="15" hidden="false" customHeight="false" outlineLevel="0" collapsed="false">
      <c r="A2" s="26" t="s">
        <v>45</v>
      </c>
    </row>
    <row r="40" customFormat="false" ht="15" hidden="false" customHeight="false" outlineLevel="0" collapsed="false">
      <c r="A40" s="19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25" t="s">
        <v>47</v>
      </c>
    </row>
    <row r="4" customFormat="false" ht="15" hidden="false" customHeight="false" outlineLevel="0" collapsed="false">
      <c r="B4" s="4" t="s">
        <v>48</v>
      </c>
    </row>
    <row r="5" customFormat="false" ht="23.85" hidden="false" customHeight="false" outlineLevel="0" collapsed="false">
      <c r="B5" s="27" t="s">
        <v>49</v>
      </c>
    </row>
    <row r="6" customFormat="false" ht="23.85" hidden="false" customHeight="false" outlineLevel="0" collapsed="false">
      <c r="B6" s="27" t="s">
        <v>50</v>
      </c>
    </row>
    <row r="7" customFormat="false" ht="15" hidden="false" customHeight="false" outlineLevel="0" collapsed="false">
      <c r="B7" s="4"/>
    </row>
    <row r="8" customFormat="false" ht="15" hidden="false" customHeight="false" outlineLevel="0" collapsed="false">
      <c r="B8" s="4" t="s">
        <v>51</v>
      </c>
    </row>
    <row r="9" customFormat="false" ht="15" hidden="false" customHeight="false" outlineLevel="0" collapsed="false">
      <c r="B9" s="27" t="s">
        <v>52</v>
      </c>
    </row>
    <row r="10" customFormat="false" ht="15" hidden="false" customHeight="false" outlineLevel="0" collapsed="false">
      <c r="B10" s="27" t="s">
        <v>53</v>
      </c>
    </row>
    <row r="11" customFormat="false" ht="15" hidden="false" customHeight="false" outlineLevel="0" collapsed="false">
      <c r="B11" s="27" t="s">
        <v>54</v>
      </c>
    </row>
    <row r="12" customFormat="false" ht="15" hidden="false" customHeight="false" outlineLevel="0" collapsed="false">
      <c r="B12" s="27" t="s">
        <v>55</v>
      </c>
    </row>
    <row r="13" customFormat="false" ht="15" hidden="false" customHeight="false" outlineLevel="0" collapsed="false">
      <c r="B13" s="4"/>
    </row>
    <row r="14" customFormat="false" ht="15" hidden="false" customHeight="false" outlineLevel="0" collapsed="false">
      <c r="B14" s="4" t="s">
        <v>56</v>
      </c>
    </row>
    <row r="15" customFormat="false" ht="23.85" hidden="false" customHeight="false" outlineLevel="0" collapsed="false">
      <c r="B15" s="27" t="s">
        <v>57</v>
      </c>
    </row>
    <row r="16" customFormat="false" ht="23.85" hidden="false" customHeight="false" outlineLevel="0" collapsed="false">
      <c r="B16" s="27" t="s">
        <v>58</v>
      </c>
    </row>
    <row r="17" customFormat="false" ht="15" hidden="false" customHeight="false" outlineLevel="0" collapsed="false">
      <c r="B17" s="4"/>
    </row>
    <row r="18" customFormat="false" ht="23.85" hidden="false" customHeight="false" outlineLevel="0" collapsed="false">
      <c r="B18" s="4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2026-07-01T12:56:06Z</dcterms:created>
  <dc:creator>openpyxl</dc:creator>
  <dc:description/>
  <dc:language>en-US</dc:language>
  <cp:lastModifiedBy/>
  <dcterms:modified xsi:type="dcterms:W3CDTF">2026-07-01T12:56:10Z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